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edro\Desktop\TestesJmeter\Testes funcionais Serverest JMeter\Documentação de testes\Formal\"/>
    </mc:Choice>
  </mc:AlternateContent>
  <xr:revisionPtr revIDLastSave="0" documentId="13_ncr:1_{F03C4311-EA70-4450-B7FA-6C28D00122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o" sheetId="1" r:id="rId1"/>
    <sheet name="Casos de Teste" sheetId="2" r:id="rId2"/>
    <sheet name="Rastreabilidade" sheetId="3" r:id="rId3"/>
  </sheets>
  <definedNames>
    <definedName name="_xlnm._FilterDatabase" localSheetId="1" hidden="1">'Casos de Teste'!$A$1:$N$550</definedName>
    <definedName name="_xlnm._FilterDatabase" localSheetId="2" hidden="1">Rastreabilidade!$A$1:$G$26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1" l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<sst xmlns="http://schemas.openxmlformats.org/spreadsheetml/2006/main" count="1093" uniqueCount="433">
  <si>
    <t>Matriz de Gestão de Testes - ServeRest API</t>
  </si>
  <si>
    <t>Gestão consolidada dos casos funcionais, cobertura, rastreabilidade e resultado da execução.</t>
  </si>
  <si>
    <t>Indicador</t>
  </si>
  <si>
    <t>Valor</t>
  </si>
  <si>
    <t>Origem do indicador</t>
  </si>
  <si>
    <t>Total de casos</t>
  </si>
  <si>
    <t>Total calculado a partir dos casos cadastrados.</t>
  </si>
  <si>
    <t>Passaram</t>
  </si>
  <si>
    <t>Casos com status Passou.</t>
  </si>
  <si>
    <t>Falharam</t>
  </si>
  <si>
    <t>Casos com status Falhou.</t>
  </si>
  <si>
    <t>Bloqueados</t>
  </si>
  <si>
    <t>Casos com status Bloqueado.</t>
  </si>
  <si>
    <t>Não executados</t>
  </si>
  <si>
    <t>Casos sem execução registrada.</t>
  </si>
  <si>
    <t>Taxa de aprovação</t>
  </si>
  <si>
    <t>Percentual calculado sobre o total cadastrado.</t>
  </si>
  <si>
    <t>Suite</t>
  </si>
  <si>
    <t>Total</t>
  </si>
  <si>
    <t>[API LOGIN]</t>
  </si>
  <si>
    <t>[API USUÁRIOS]</t>
  </si>
  <si>
    <t>[API PRODUTOS]</t>
  </si>
  <si>
    <t>[API CARRINHOS]</t>
  </si>
  <si>
    <t>ID</t>
  </si>
  <si>
    <t>Cenário</t>
  </si>
  <si>
    <t>Caso de teste</t>
  </si>
  <si>
    <t>Prioridade</t>
  </si>
  <si>
    <t>Tipo</t>
  </si>
  <si>
    <t>Smoke</t>
  </si>
  <si>
    <t>Regressão</t>
  </si>
  <si>
    <t>Pré-condição</t>
  </si>
  <si>
    <t>Dados</t>
  </si>
  <si>
    <t>Resultado esperado</t>
  </si>
  <si>
    <t>Status</t>
  </si>
  <si>
    <t>Evidência</t>
  </si>
  <si>
    <t>Observações</t>
  </si>
  <si>
    <t>CT-LOGIN-001</t>
  </si>
  <si>
    <t>POST</t>
  </si>
  <si>
    <t>Deve realizar login com sucesso</t>
  </si>
  <si>
    <t>Alta</t>
  </si>
  <si>
    <t>Positivo</t>
  </si>
  <si>
    <t>Sim</t>
  </si>
  <si>
    <t>Usuário válido cadastrado</t>
  </si>
  <si>
    <t>email/senha válidos</t>
  </si>
  <si>
    <t>Retornar status code 200</t>
  </si>
  <si>
    <t>Passou</t>
  </si>
  <si>
    <t>EV-001</t>
  </si>
  <si>
    <t>CT-LOGIN-002</t>
  </si>
  <si>
    <t>Não deve realizar login com E-mail/senha Inválida</t>
  </si>
  <si>
    <t>Negativo</t>
  </si>
  <si>
    <t>Não</t>
  </si>
  <si>
    <t>senha inválida</t>
  </si>
  <si>
    <t>Retornar status code 401</t>
  </si>
  <si>
    <t>EV-002</t>
  </si>
  <si>
    <t>CT-LOGIN-003</t>
  </si>
  <si>
    <t>Não deve realizar login com E-mail/Senha em Branco</t>
  </si>
  <si>
    <t>Não aplicável</t>
  </si>
  <si>
    <t>Falhou</t>
  </si>
  <si>
    <t>EV-003</t>
  </si>
  <si>
    <t>CT-LOGIN-004</t>
  </si>
  <si>
    <t>Não deve logar sem enviar nenhum body</t>
  </si>
  <si>
    <t>EV-004</t>
  </si>
  <si>
    <t>CT-USR-001</t>
  </si>
  <si>
    <t>GET</t>
  </si>
  <si>
    <t>Deve listar todos os usuários</t>
  </si>
  <si>
    <t>Baixa</t>
  </si>
  <si>
    <t>EV-005</t>
  </si>
  <si>
    <t>CT-USR-002</t>
  </si>
  <si>
    <t>Deve encontrar usuário com sucesso</t>
  </si>
  <si>
    <t>Média</t>
  </si>
  <si>
    <t>ID de usuário cadastrado</t>
  </si>
  <si>
    <t>EV-006</t>
  </si>
  <si>
    <t>CT-USR-003</t>
  </si>
  <si>
    <t>Não deve encontrar usuário com ID falso</t>
  </si>
  <si>
    <t>ID inexistente</t>
  </si>
  <si>
    <t>Retornar status code 400</t>
  </si>
  <si>
    <t>EV-007</t>
  </si>
  <si>
    <t>CT-USR-004</t>
  </si>
  <si>
    <t>Não deve encontrar usuário com ID tamanho errado</t>
  </si>
  <si>
    <t>ID com menos de 16 caracteres ou mais de 16 caracteres</t>
  </si>
  <si>
    <t>EV-008</t>
  </si>
  <si>
    <t>CT-USR-005</t>
  </si>
  <si>
    <t>Deve cadastrar usuário com sucesso</t>
  </si>
  <si>
    <t>E-mail ainda não cadastrado</t>
  </si>
  <si>
    <t>Nome, E-mail, Senha, Admin (boolean)</t>
  </si>
  <si>
    <t>Retornar status code 201</t>
  </si>
  <si>
    <t>EV-009</t>
  </si>
  <si>
    <t>CT-USR-006</t>
  </si>
  <si>
    <t>Não deve cadastrar com e-mail em formato incorreto</t>
  </si>
  <si>
    <t>Nome, E-mail com formato incorreto, Senha, Admin (boolean)</t>
  </si>
  <si>
    <t>Deve retornar mensagem avisando sobre o formato errado do e-mail</t>
  </si>
  <si>
    <t>EV-010</t>
  </si>
  <si>
    <t>CT-USR-007</t>
  </si>
  <si>
    <t>Não deve cadastrar com Nome, E-mail e Senha em branco</t>
  </si>
  <si>
    <t>Deve retornar mensagem avisando o que ficou em branco</t>
  </si>
  <si>
    <t>EV-011</t>
  </si>
  <si>
    <t>CT-USR-008</t>
  </si>
  <si>
    <t>Não deve cadastrar com dado em formato inválido</t>
  </si>
  <si>
    <t>Nome, E-mail, Senha, Admin (não boolean)</t>
  </si>
  <si>
    <t>Deve retornar mensagem avisando " administrador deve ser 'true' ou 'false' "</t>
  </si>
  <si>
    <t>EV-012</t>
  </si>
  <si>
    <t>CT-USR-009</t>
  </si>
  <si>
    <t>Não deve cadastrar com Hotmail</t>
  </si>
  <si>
    <t>Nome, E-mail hotmail, Senha, Admin (boolean)</t>
  </si>
  <si>
    <t>Deve retornar status code diferente de 201</t>
  </si>
  <si>
    <t>EV-013</t>
  </si>
  <si>
    <t>CT-USR-010</t>
  </si>
  <si>
    <t>Não deve cadastrar com Gmail</t>
  </si>
  <si>
    <t>Nome, E-mail gmail, Senha, Admin (boolean)</t>
  </si>
  <si>
    <t>EV-014</t>
  </si>
  <si>
    <t>CT-USR-011</t>
  </si>
  <si>
    <t>Senha não pode ter mais que dez caracteres</t>
  </si>
  <si>
    <t>Nome, E-mail, Senha com mais de 10 caracteres, Admin (boolean)</t>
  </si>
  <si>
    <t>EV-015</t>
  </si>
  <si>
    <t>CT-USR-012</t>
  </si>
  <si>
    <t>Senha não pode ter menos de cinco caracteres</t>
  </si>
  <si>
    <t>Nome, E-mail, Senha com menos de 5 caracteres, Admin (boolean)</t>
  </si>
  <si>
    <t>EV-016</t>
  </si>
  <si>
    <t>CT-USR-013</t>
  </si>
  <si>
    <t>Não deve cadastrar com E-mail repetido</t>
  </si>
  <si>
    <t>E-mail já cadastrado</t>
  </si>
  <si>
    <t>Deve retornar status code 400 e mensagem "Este email já está sendo usado"</t>
  </si>
  <si>
    <t>EV-017</t>
  </si>
  <si>
    <t>CT-USR-014</t>
  </si>
  <si>
    <t>PUT</t>
  </si>
  <si>
    <t>Deve editar usuário com sucesso</t>
  </si>
  <si>
    <t>Deve retornar status code 200</t>
  </si>
  <si>
    <t>EV-018</t>
  </si>
  <si>
    <t>CT-USR-015</t>
  </si>
  <si>
    <t>Não deve editar com informações em branco</t>
  </si>
  <si>
    <t>Deve retornar status code 200 e mensagem "não pode ficar em branco"</t>
  </si>
  <si>
    <t>EV-019</t>
  </si>
  <si>
    <t>CT-USR-016</t>
  </si>
  <si>
    <t>EV-020</t>
  </si>
  <si>
    <t>CT-USR-017</t>
  </si>
  <si>
    <t>Não deve cadastrar usuário com sucesso</t>
  </si>
  <si>
    <t>EV-021</t>
  </si>
  <si>
    <t>CT-USR-018</t>
  </si>
  <si>
    <t>DELETE</t>
  </si>
  <si>
    <t>Deve deletar usuário com sucesso</t>
  </si>
  <si>
    <t>Deve retornar status code 200 e mensagem "Registro excluído com sucesso"</t>
  </si>
  <si>
    <t>EV-022</t>
  </si>
  <si>
    <t>CT-USR-019</t>
  </si>
  <si>
    <t>Não deve deletar usuário com ID inválido</t>
  </si>
  <si>
    <t>Deve retornar status code 200 e mensagem "Nenhum registro excluído"</t>
  </si>
  <si>
    <t>EV-023</t>
  </si>
  <si>
    <t>CT-USR-020</t>
  </si>
  <si>
    <t>Não deve excluir sem informar ID</t>
  </si>
  <si>
    <t>EV-024</t>
  </si>
  <si>
    <t>CT-USR-021</t>
  </si>
  <si>
    <t>Não deve excluir usuário com carrinho cadastrado</t>
  </si>
  <si>
    <t>Usuário válido cadastrado com carrinho</t>
  </si>
  <si>
    <t>EV-025</t>
  </si>
  <si>
    <t>CT-PROD-001</t>
  </si>
  <si>
    <t>Deve listar todos os produtos</t>
  </si>
  <si>
    <t>Listar produtos cadastrados e retornar status code 200</t>
  </si>
  <si>
    <t>EV-026</t>
  </si>
  <si>
    <t>CT-PROD-002</t>
  </si>
  <si>
    <t>Deve encontrar produto específico</t>
  </si>
  <si>
    <t>Produto válido cadastrado</t>
  </si>
  <si>
    <t>ID de produto cadastrado</t>
  </si>
  <si>
    <t>Mostrar produto específico e retornar status code 200</t>
  </si>
  <si>
    <t>EV-027</t>
  </si>
  <si>
    <t>CT-PROD-003</t>
  </si>
  <si>
    <t>Não deve encontrar produto com ID falso</t>
  </si>
  <si>
    <t>EV-028</t>
  </si>
  <si>
    <t>CT-PROD-004</t>
  </si>
  <si>
    <t>Não deve encontrar produto com ID em tamanho incorreto</t>
  </si>
  <si>
    <t>Não deve retornar status code 200</t>
  </si>
  <si>
    <t>EV-029</t>
  </si>
  <si>
    <t>CT-PROD-005</t>
  </si>
  <si>
    <t>Deve cadastrar com sucesso</t>
  </si>
  <si>
    <t>Usuário com acesso administrativo</t>
  </si>
  <si>
    <t>Nome, Preço, Descrição e Quantidade</t>
  </si>
  <si>
    <t>Deve retornar status code 201</t>
  </si>
  <si>
    <t>EV-030</t>
  </si>
  <si>
    <t>CT-PROD-006</t>
  </si>
  <si>
    <t>Deve cadastrar produto com preço decimal</t>
  </si>
  <si>
    <t>Nome, Preço com valor decimal, Descrição e Quantidade</t>
  </si>
  <si>
    <t>EV-031</t>
  </si>
  <si>
    <t>CT-PROD-007</t>
  </si>
  <si>
    <t>Deve retornar mensagem de erro com preço muito alto</t>
  </si>
  <si>
    <t>Nome, Preço com valor de '10000000000000000', Descrição e Quantidade</t>
  </si>
  <si>
    <t>Retornar mensagem de erro sobre o preço</t>
  </si>
  <si>
    <t>EV-032</t>
  </si>
  <si>
    <t>CT-PROD-008</t>
  </si>
  <si>
    <t>Deve retornar mensagem de erro com quantidade muito alta</t>
  </si>
  <si>
    <t>Nome, Preço, Descrição e Quantidade com valor de '10000000000000000'</t>
  </si>
  <si>
    <t>Retornar mensagem de erro sobre a quantidade</t>
  </si>
  <si>
    <t>EV-033</t>
  </si>
  <si>
    <t>CT-PROD-009</t>
  </si>
  <si>
    <t>Não deve cadastrar produto com quantidade zero</t>
  </si>
  <si>
    <t>Nome, Preço, Descrição e Quantidade com valor zero</t>
  </si>
  <si>
    <t>EV-034</t>
  </si>
  <si>
    <t>CT-PROD-010</t>
  </si>
  <si>
    <t>Não deve cadastrar produto com preço zero</t>
  </si>
  <si>
    <t>Nome, Preço com valor zero, Descrição e Quantidade</t>
  </si>
  <si>
    <t>Não deve cadastrar e não deve retornar status code 201</t>
  </si>
  <si>
    <t>EV-035</t>
  </si>
  <si>
    <t>CT-PROD-011</t>
  </si>
  <si>
    <t>Não deve cadastrar produto com nome repetido</t>
  </si>
  <si>
    <t>Usuário com acesso administrativo e produto já cadastrado</t>
  </si>
  <si>
    <t>Nome de produto já cadastrado, Preço, Descrição e Quantidade</t>
  </si>
  <si>
    <t>Não deve cadastrar e nem retornar status code 201</t>
  </si>
  <si>
    <t>EV-036</t>
  </si>
  <si>
    <t>CT-PROD-012</t>
  </si>
  <si>
    <t>Não deve cadastrar produto sem token de acesso</t>
  </si>
  <si>
    <t>Deve retornar status code 401</t>
  </si>
  <si>
    <t>EV-037</t>
  </si>
  <si>
    <t>CT-PROD-013</t>
  </si>
  <si>
    <t>Não deve cadastrar produto com token de acesso inválido</t>
  </si>
  <si>
    <t>Token de acesso inválido</t>
  </si>
  <si>
    <t>EV-038</t>
  </si>
  <si>
    <t>CT-PROD-014</t>
  </si>
  <si>
    <t>Não deve cadastrar produto com usuário sem permissão</t>
  </si>
  <si>
    <t>Usuário sem acesso administrativo</t>
  </si>
  <si>
    <t>Deve retornar status code 403</t>
  </si>
  <si>
    <t>EV-039</t>
  </si>
  <si>
    <t>CT-PROD-015</t>
  </si>
  <si>
    <t>Deve editar produto com sucesso</t>
  </si>
  <si>
    <t>Id de produto, Nome, Preço, Descrição e Quantidade</t>
  </si>
  <si>
    <t>Deve editar com sucesso e retornar status code 200</t>
  </si>
  <si>
    <t>EV-040</t>
  </si>
  <si>
    <t>CT-PROD-016</t>
  </si>
  <si>
    <t>Não deve editar/criar produto com ID curto</t>
  </si>
  <si>
    <t>Id de produto curto, Nome, Preço, Descrição e Quantidade</t>
  </si>
  <si>
    <t>Deve retornar status code diferente de 200</t>
  </si>
  <si>
    <t>EV-041</t>
  </si>
  <si>
    <t>CT-PROD-017</t>
  </si>
  <si>
    <t>Não deve cadastrar produto com sucesso através do PUT</t>
  </si>
  <si>
    <t>Id falso de produto, Nome, Preço, Descrição e Quantidade</t>
  </si>
  <si>
    <t>EV-042</t>
  </si>
  <si>
    <t>CT-PROD-018</t>
  </si>
  <si>
    <t>Não deve cadastrar produto com o mesmo nome</t>
  </si>
  <si>
    <t>Id falso de produto, Nome de produto já cadastrado, Preço, Descrição e Quantidade</t>
  </si>
  <si>
    <t>Deve retornar status code 400</t>
  </si>
  <si>
    <t>EV-043</t>
  </si>
  <si>
    <t>CT-PROD-019</t>
  </si>
  <si>
    <t>Deve permitir editar mudando apenas um valor</t>
  </si>
  <si>
    <t>EV-044</t>
  </si>
  <si>
    <t>CT-PROD-020</t>
  </si>
  <si>
    <t>Não deve editar sem acesso administrativo</t>
  </si>
  <si>
    <t>Deve retornar mensagem de erro e status code 403</t>
  </si>
  <si>
    <t>EV-045</t>
  </si>
  <si>
    <t>CT-PROD-021</t>
  </si>
  <si>
    <t>Não deve editar com token de acesso inválido</t>
  </si>
  <si>
    <t>Id de produto já cadastrado, Nome, Preço, Descrição e Quantidade</t>
  </si>
  <si>
    <t>EV-046</t>
  </si>
  <si>
    <t>CT-PROD-022</t>
  </si>
  <si>
    <t>Não deve editar sem token de acesso</t>
  </si>
  <si>
    <t>EV-047</t>
  </si>
  <si>
    <t>CT-PROD-023</t>
  </si>
  <si>
    <t>Não deve editar produto que pertence a carrinho</t>
  </si>
  <si>
    <t>EV-048</t>
  </si>
  <si>
    <t>CT-PROD-024</t>
  </si>
  <si>
    <t>Deve deletar produto com sucesso</t>
  </si>
  <si>
    <t>Id de produto</t>
  </si>
  <si>
    <t>Deve deletar e retornar status code 200</t>
  </si>
  <si>
    <t>EV-049</t>
  </si>
  <si>
    <t>CT-PROD-025</t>
  </si>
  <si>
    <t>Não deve deletar sem informar ID</t>
  </si>
  <si>
    <t>EV-050</t>
  </si>
  <si>
    <t>CT-PROD-026</t>
  </si>
  <si>
    <t>Não deve excluir produto com carrinho cadastrado</t>
  </si>
  <si>
    <t>Id de produto pertencente a um carrinho</t>
  </si>
  <si>
    <t>EV-051</t>
  </si>
  <si>
    <t>CT-PROD-027</t>
  </si>
  <si>
    <t>Não deve deletar sem token de acesso</t>
  </si>
  <si>
    <t>EV-052</t>
  </si>
  <si>
    <t>CT-PROD-028</t>
  </si>
  <si>
    <t>Não deve deletar com token de acesso inválido</t>
  </si>
  <si>
    <t>EV-053</t>
  </si>
  <si>
    <t>CT-PROD-029</t>
  </si>
  <si>
    <t>Não deve deletar sem ser usuário administrativo</t>
  </si>
  <si>
    <t>EV-054</t>
  </si>
  <si>
    <t>CT-CART-001</t>
  </si>
  <si>
    <t>Deve listar todos os carrinhos</t>
  </si>
  <si>
    <t>Carrinho cadastrado no sistema</t>
  </si>
  <si>
    <t>Deve retornar lista de carrinhos e status code 200</t>
  </si>
  <si>
    <t>EV-055</t>
  </si>
  <si>
    <t>CT-CART-002</t>
  </si>
  <si>
    <t>Deve listar carrinho por ID</t>
  </si>
  <si>
    <t>ID de carrinho</t>
  </si>
  <si>
    <t>Deve retornar carrinho específico e status code 200</t>
  </si>
  <si>
    <t>EV-056</t>
  </si>
  <si>
    <t>CT-CART-003</t>
  </si>
  <si>
    <t>Deve cadastrar carrinho com usuário administrativo</t>
  </si>
  <si>
    <t>Produto válido cadastrado para cadastrar no carrinho e token de acesso válido</t>
  </si>
  <si>
    <t>idProduto e quantidade</t>
  </si>
  <si>
    <t>Deve cadastrar carrinho e retornar status code 200</t>
  </si>
  <si>
    <t>EV-057</t>
  </si>
  <si>
    <t>CT-CART-004</t>
  </si>
  <si>
    <t>Não deve cadastrar um segundo carrinho pro mesmo usuário</t>
  </si>
  <si>
    <t>Carrinho cadastrado no sistema, Produto válido cadastrado para cadastrar no carrinho e token de acesso válido</t>
  </si>
  <si>
    <t>EV-058</t>
  </si>
  <si>
    <t>CT-CART-005</t>
  </si>
  <si>
    <t>Não deve cadastrar carrinho com produto que não existe</t>
  </si>
  <si>
    <t>Produto inexistente para cadastrar no carrinho e token de acesso válido</t>
  </si>
  <si>
    <t>idProduto inexistente e quantidade</t>
  </si>
  <si>
    <t>EV-059</t>
  </si>
  <si>
    <t>CT-CART-006</t>
  </si>
  <si>
    <t>Não deve cadastrar carrinho com produtos a mais do que tem no estoque</t>
  </si>
  <si>
    <t>idProduto e quantidade maior do que no estoque</t>
  </si>
  <si>
    <t>EV-060</t>
  </si>
  <si>
    <t>CT-CART-007</t>
  </si>
  <si>
    <t>Deve cadastrar carrinho com usuário comum</t>
  </si>
  <si>
    <t>EV-061</t>
  </si>
  <si>
    <t>CT-CART-008</t>
  </si>
  <si>
    <t>Não deve cadastrar carrinho sem autenticação</t>
  </si>
  <si>
    <t>Produto válido cadastrado para cadastrar no carrinho</t>
  </si>
  <si>
    <t>EV-062</t>
  </si>
  <si>
    <t>CT-CART-009</t>
  </si>
  <si>
    <t>Deve editar carrinho com sucesso</t>
  </si>
  <si>
    <t>Carrinho cadastrado no sistema e produto válido cadastrado</t>
  </si>
  <si>
    <t>Deve retornar status code 200 e editar carrinho já cadastrado</t>
  </si>
  <si>
    <t>EV-063</t>
  </si>
  <si>
    <t>CT-CART-010</t>
  </si>
  <si>
    <t>Deve cancelar compra de carrinho com sucesso</t>
  </si>
  <si>
    <t>Carrinho cadastrado e token de acesso válido</t>
  </si>
  <si>
    <t>EV-064</t>
  </si>
  <si>
    <t>CT-CART-011</t>
  </si>
  <si>
    <t>Não deve cancelar compra de usuário sem carrinho</t>
  </si>
  <si>
    <t>Token de acesso válido de usuário sem carrinho</t>
  </si>
  <si>
    <t>EV-065</t>
  </si>
  <si>
    <t>CT-CART-012</t>
  </si>
  <si>
    <t>Deve concluir compra de carrinho com sucesso</t>
  </si>
  <si>
    <t>EV-066</t>
  </si>
  <si>
    <t>CT-CART-013</t>
  </si>
  <si>
    <t>Não deve concluir compra de usuário sem carrinho</t>
  </si>
  <si>
    <t>EV-067</t>
  </si>
  <si>
    <t>ID requisito/regra</t>
  </si>
  <si>
    <t>Descrição</t>
  </si>
  <si>
    <t>Casos relacionados</t>
  </si>
  <si>
    <t>Critério de aceite</t>
  </si>
  <si>
    <t>Cobertura</t>
  </si>
  <si>
    <t>REQ-001</t>
  </si>
  <si>
    <t>Deve poder logar com credenciais validas.</t>
  </si>
  <si>
    <t>Login valido deve retornar status code 200.</t>
  </si>
  <si>
    <t>Coberto</t>
  </si>
  <si>
    <t>Fluxo basico da ServeRest.</t>
  </si>
  <si>
    <t>REQ-002</t>
  </si>
  <si>
    <t>Nao deve permitir login com credenciais invalidas, campos em branco ou body ausente.</t>
  </si>
  <si>
    <t>CT-LOGIN-002, CT-LOGIN-003, CT-LOGIN-004</t>
  </si>
  <si>
    <t>Login invalido ou incompleto deve retornar erro conforme regra esperada.</t>
  </si>
  <si>
    <t>Coberto com falha</t>
  </si>
  <si>
    <t>Cobre validacoes negativas de login.</t>
  </si>
  <si>
    <t>REQ-003</t>
  </si>
  <si>
    <t>Deve poder listar e consultar usuarios.</t>
  </si>
  <si>
    <t>CT-USR-001, CT-USR-002, CT-USR-003, CT-USR-004</t>
  </si>
  <si>
    <t>A API deve listar usuarios, consultar usuario valido e tratar IDs invalidos/inexistentes.</t>
  </si>
  <si>
    <t>Funcionalidade basica de usuarios.</t>
  </si>
  <si>
    <t>REQ-004</t>
  </si>
  <si>
    <t>Deve poder criar usuario com dados validos.</t>
  </si>
  <si>
    <t>Cadastro valido deve retornar status code 201.</t>
  </si>
  <si>
    <t>REQ-005</t>
  </si>
  <si>
    <t>Cadastro de usuario deve validar e-mail, campos obrigatorios, tipo do campo admin e e-mail repetido.</t>
  </si>
  <si>
    <t>CT-USR-006, CT-USR-007, CT-USR-008, CT-USR-013</t>
  </si>
  <si>
    <t>Dados invalidos ou duplicados devem retornar erro/mensagem compativel.</t>
  </si>
  <si>
    <t>Agrupa validacoes gerais de cadastro.</t>
  </si>
  <si>
    <t>REQ-006</t>
  </si>
  <si>
    <t>Nao pode deixar cadastrar com email Hotmail.</t>
  </si>
  <si>
    <t>E-mail Hotmail deve ser recusado e nao deve retornar status code 201.</t>
  </si>
  <si>
    <t>Requisito especifico informado.</t>
  </si>
  <si>
    <t>REQ-007</t>
  </si>
  <si>
    <t>Nao pode deixar cadastrar com email Gmail.</t>
  </si>
  <si>
    <t>E-mail Gmail deve ser recusado e nao deve retornar status code 201.</t>
  </si>
  <si>
    <t>REQ-008</t>
  </si>
  <si>
    <t>Nao pode ter senha com mais de 10 caracteres.</t>
  </si>
  <si>
    <t>Senha maior que 10 caracteres deve ser recusada.</t>
  </si>
  <si>
    <t>REQ-009</t>
  </si>
  <si>
    <t>Nao pode ter senha com menos de 5 caracteres.</t>
  </si>
  <si>
    <t>Senha menor que 5 caracteres deve ser recusada.</t>
  </si>
  <si>
    <t>REQ-010</t>
  </si>
  <si>
    <t>Nao deve cadastrar usuario atraves do PUT.</t>
  </si>
  <si>
    <t>PUT nao deve criar usuario novo com sucesso.</t>
  </si>
  <si>
    <t>REQ-011</t>
  </si>
  <si>
    <t>Deve poder editar e excluir usuarios conforme regras da API.</t>
  </si>
  <si>
    <t>CT-USR-014, CT-USR-015, CT-USR-016, CT-USR-018, CT-USR-019, CT-USR-020, CT-USR-021</t>
  </si>
  <si>
    <t>Edicoes/exclusoes validas devem funcionar e operacoes invalidas devem ser tratadas.</t>
  </si>
  <si>
    <t>REQ-012</t>
  </si>
  <si>
    <t>Deve poder listar e consultar produtos.</t>
  </si>
  <si>
    <t>CT-PROD-001, CT-PROD-002, CT-PROD-003, CT-PROD-004</t>
  </si>
  <si>
    <t>A API deve listar produtos, consultar produto valido e tratar IDs invalidos/inexistentes.</t>
  </si>
  <si>
    <t>Funcionalidade basica de produtos.</t>
  </si>
  <si>
    <t>REQ-013</t>
  </si>
  <si>
    <t>Deve poder criar produto com usuario administrador.</t>
  </si>
  <si>
    <t>Admin autenticado deve criar produto valido com status code 201.</t>
  </si>
  <si>
    <t>REQ-014</t>
  </si>
  <si>
    <t>Deve poder cadastrar produto com preco decimal.</t>
  </si>
  <si>
    <t>Produto com preco decimal deve ser aceito conforme regra definida.</t>
  </si>
  <si>
    <t>REQ-015</t>
  </si>
  <si>
    <t>Cadastro de produto deve validar limites, duplicidade, autenticacao e permissao.</t>
  </si>
  <si>
    <t>CT-PROD-007, CT-PROD-008, CT-PROD-010, CT-PROD-011, CT-PROD-012, CT-PROD-013, CT-PROD-014</t>
  </si>
  <si>
    <t>Entradas invalidas, produto duplicado e acesso sem permissao devem ser tratados.</t>
  </si>
  <si>
    <t>Agrupa validacoes gerais de cadastro de produto.</t>
  </si>
  <si>
    <t>REQ-016</t>
  </si>
  <si>
    <t>Nao deve realizar cadastro de produto com quantidade zero.</t>
  </si>
  <si>
    <t>Quantidade zero deve ser recusada e nao deve retornar status code 201.</t>
  </si>
  <si>
    <t>REQ-017</t>
  </si>
  <si>
    <t>Nao deve cadastrar produto atraves do PUT.</t>
  </si>
  <si>
    <t>PUT nao deve criar produto novo com sucesso.</t>
  </si>
  <si>
    <t>REQ-018</t>
  </si>
  <si>
    <t>Nao deve permitir editar produto que ja pertence a um carrinho.</t>
  </si>
  <si>
    <t>Produto vinculado a carrinho nao deve ser editado com sucesso.</t>
  </si>
  <si>
    <t>REQ-019</t>
  </si>
  <si>
    <t>Deve poder editar e excluir produtos conforme autenticacao, permissao e vinculo com carrinho.</t>
  </si>
  <si>
    <t>CT-PROD-015, CT-PROD-016, CT-PROD-018, CT-PROD-019, CT-PROD-020, CT-PROD-021, CT-PROD-022, CT-PROD-024, CT-PROD-025, CT-PROD-026, CT-PROD-027, CT-PROD-028, CT-PROD-029</t>
  </si>
  <si>
    <t>Manutencao valida deve funcionar e operacoes sem autorizacao/regra devem ser bloqueadas.</t>
  </si>
  <si>
    <t>REQ-020</t>
  </si>
  <si>
    <t>Deve poder listar e consultar carrinhos.</t>
  </si>
  <si>
    <t>CT-CART-001, CT-CART-002</t>
  </si>
  <si>
    <t>A API deve listar carrinhos e consultar carrinho existente.</t>
  </si>
  <si>
    <t>Funcionalidade basica de carrinhos.</t>
  </si>
  <si>
    <t>REQ-021</t>
  </si>
  <si>
    <t>Deve poder cadastrar carrinho com produto valido e usuario autenticado.</t>
  </si>
  <si>
    <t>CT-CART-003, CT-CART-007</t>
  </si>
  <si>
    <t>Usuario autenticado deve criar carrinho com produto e quantidade validos.</t>
  </si>
  <si>
    <t>REQ-022</t>
  </si>
  <si>
    <t>Cadastro de carrinho deve validar carrinho duplicado, produto inexistente, estoque e autenticacao.</t>
  </si>
  <si>
    <t>CT-CART-004, CT-CART-005, CT-CART-006, CT-CART-008</t>
  </si>
  <si>
    <t>Carrinho invalido ou nao autorizado deve ser bloqueado.</t>
  </si>
  <si>
    <t>Agrupa validacoes gerais de cadastro de carrinho.</t>
  </si>
  <si>
    <t>REQ-023</t>
  </si>
  <si>
    <t>Deve permitir adicionar mais produtos ao carrinho atraves do PUT.</t>
  </si>
  <si>
    <t>PUT deve permitir editar carrinho existente adicionando/alterando produtos.</t>
  </si>
  <si>
    <t>REQ-024</t>
  </si>
  <si>
    <t>Deve poder cancelar compra de carrinho.</t>
  </si>
  <si>
    <t>CT-CART-010, CT-CART-011</t>
  </si>
  <si>
    <t>Cancelar compra valida deve funcionar e usuario sem carrinho deve ser tratado.</t>
  </si>
  <si>
    <t>REQ-025</t>
  </si>
  <si>
    <t>Deve poder concluir compra de carrinho.</t>
  </si>
  <si>
    <t>CT-CART-012, CT-CART-013</t>
  </si>
  <si>
    <t>Concluir compra valida deve funcionar e usuario sem carrinho deve ser tratado.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</si>
</sst>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color rgb="FF0B2545"/>
      <name val="Calibri"/>
    </font>
    <font>
      <b/>
      <sz val="11"/>
      <color rgb="FF0B2545"/>
      <name val="Calibri"/>
    </font>
    <font>
      <b/>
      <sz val="12"/>
      <color rgb="FF0B2545"/>
      <name val="Arial"/>
      <family val="2"/>
    </font>
    <font>
      <sz val="12"/>
      <color theme="1"/>
      <name val="Arial"/>
      <family val="2"/>
    </font>
    <font>
      <b/>
      <sz val="11"/>
      <color rgb="FF0B2545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F2F4F7"/>
      </patternFill>
    </fill>
    <fill>
      <patternFill patternType="solid">
        <fgColor rgb="FFF2F4F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4F7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1" xfId="0" applyFont="1" applyFill="1" applyBorder="1" applyAlignment="1">
      <alignment vertical="top" wrapText="1"/>
    </xf>
    <xf numFmtId="10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4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0" xfId="0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top" wrapText="1"/>
    </xf>
    <xf numFmtId="0" fontId="6" fillId="5" borderId="0" xfId="0" applyFont="1" applyFill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vertical="top" wrapText="1"/>
    </xf>
    <xf numFmtId="0" fontId="6" fillId="8" borderId="4" xfId="0" applyFont="1" applyFill="1" applyBorder="1" applyAlignment="1">
      <alignment vertical="top" wrapText="1"/>
    </xf>
    <xf numFmtId="0" fontId="7" fillId="9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0" fillId="10" borderId="5" xfId="0" applyFill="1" applyBorder="1" applyAlignment="1">
      <alignment vertical="top" wrapText="1"/>
    </xf>
    <xf numFmtId="0" fontId="0" fillId="11" borderId="5" xfId="0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1" fillId="2" borderId="5" xfId="0" applyFont="1" applyFill="1" applyBorder="1" applyAlignment="1">
      <alignment vertical="top" wrapText="1"/>
    </xf>
  </cellXfs>
  <cellStyles count="1">
    <cellStyle name="Normal" xfId="0" builtinId="0"/>
  </cellStyles>
  <dxfs count="25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Status dos testes</a:t>
            </a:r>
          </a:p>
        </c:rich>
      </c:tx>
      <c:layout>
        <c:manualLayout>
          <c:xMode val="edge"/>
          <c:yMode val="edge"/>
          <c:x val="8.1164444444444483E-2"/>
          <c:y val="3.7629629629629631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Resumo!$A$6:$A$9</c:f>
              <c:strCache>
                <c:ptCount val="4"/>
                <c:pt idx="0">
                  <c:v>Passaram</c:v>
                </c:pt>
                <c:pt idx="1">
                  <c:v>Falharam</c:v>
                </c:pt>
                <c:pt idx="2">
                  <c:v>Bloqueados</c:v>
                </c:pt>
                <c:pt idx="3">
                  <c:v>Não executados</c:v>
                </c:pt>
              </c:strCache>
            </c:strRef>
          </c:cat>
          <c:val>
            <c:numRef>
              <c:f>Resumo!$B$6:$B$9</c:f>
              <c:numCache>
                <c:formatCode>General</c:formatCode>
                <c:ptCount val="4"/>
                <c:pt idx="0">
                  <c:v>52</c:v>
                </c:pt>
                <c:pt idx="1">
                  <c:v>15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8B-4137-BF88-66FD319AC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Resultado por suite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Resumo!$C$13</c:f>
              <c:strCache>
                <c:ptCount val="1"/>
                <c:pt idx="0">
                  <c:v>Passaram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Resumo!$A$14:$A$18</c:f>
              <c:strCache>
                <c:ptCount val="4"/>
                <c:pt idx="0">
                  <c:v>[API LOGIN]</c:v>
                </c:pt>
                <c:pt idx="1">
                  <c:v>[API USUÁRIOS]</c:v>
                </c:pt>
                <c:pt idx="2">
                  <c:v>[API PRODUTOS]</c:v>
                </c:pt>
                <c:pt idx="3">
                  <c:v>[API CARRINHOS]</c:v>
                </c:pt>
              </c:strCache>
            </c:strRef>
          </c:cat>
          <c:val>
            <c:numRef>
              <c:f>Resumo!$C$14:$C$18</c:f>
              <c:numCache>
                <c:formatCode>General</c:formatCode>
                <c:ptCount val="5"/>
                <c:pt idx="0">
                  <c:v>2</c:v>
                </c:pt>
                <c:pt idx="1">
                  <c:v>15</c:v>
                </c:pt>
                <c:pt idx="2">
                  <c:v>25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5-4CF4-A988-1DF38B3684F5}"/>
            </c:ext>
          </c:extLst>
        </c:ser>
        <c:ser>
          <c:idx val="1"/>
          <c:order val="1"/>
          <c:tx>
            <c:strRef>
              <c:f>Resumo!$D$13</c:f>
              <c:strCache>
                <c:ptCount val="1"/>
                <c:pt idx="0">
                  <c:v>Falharam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Resumo!$A$14:$A$18</c:f>
              <c:strCache>
                <c:ptCount val="4"/>
                <c:pt idx="0">
                  <c:v>[API LOGIN]</c:v>
                </c:pt>
                <c:pt idx="1">
                  <c:v>[API USUÁRIOS]</c:v>
                </c:pt>
                <c:pt idx="2">
                  <c:v>[API PRODUTOS]</c:v>
                </c:pt>
                <c:pt idx="3">
                  <c:v>[API CARRINHOS]</c:v>
                </c:pt>
              </c:strCache>
            </c:strRef>
          </c:cat>
          <c:val>
            <c:numRef>
              <c:f>Resumo!$D$14:$D$18</c:f>
              <c:numCache>
                <c:formatCode>General</c:formatCode>
                <c:ptCount val="5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F5-4CF4-A988-1DF38B3684F5}"/>
            </c:ext>
          </c:extLst>
        </c:ser>
        <c:ser>
          <c:idx val="2"/>
          <c:order val="2"/>
          <c:tx>
            <c:strRef>
              <c:f>Resumo!$E$13</c:f>
              <c:strCache>
                <c:ptCount val="1"/>
                <c:pt idx="0">
                  <c:v>Bloqueados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Resumo!$A$14:$A$18</c:f>
              <c:strCache>
                <c:ptCount val="4"/>
                <c:pt idx="0">
                  <c:v>[API LOGIN]</c:v>
                </c:pt>
                <c:pt idx="1">
                  <c:v>[API USUÁRIOS]</c:v>
                </c:pt>
                <c:pt idx="2">
                  <c:v>[API PRODUTOS]</c:v>
                </c:pt>
                <c:pt idx="3">
                  <c:v>[API CARRINHOS]</c:v>
                </c:pt>
              </c:strCache>
            </c:strRef>
          </c:cat>
          <c:val>
            <c:numRef>
              <c:f>Resumo!$E$14:$E$18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F5-4CF4-A988-1DF38B368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Quantidade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370111111111112"/>
          <c:y val="0.39593333333333341"/>
          <c:w val="0.15218777777777781"/>
          <c:h val="0.25517000000000001"/>
        </c:manualLayout>
      </c:layout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1047750</xdr:colOff>
      <xdr:row>4</xdr:row>
      <xdr:rowOff>171450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18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Normal="100" workbookViewId="0">
      <pane ySplit="3" topLeftCell="A4" activePane="bottomLeft" state="frozen"/>
      <selection pane="bottomLeft" activeCell="M2" sqref="M2"/>
    </sheetView>
  </sheetViews>
  <sheetFormatPr defaultRowHeight="15" x14ac:dyDescent="0.25"/>
  <cols>
    <col min="1" max="1" width="22" customWidth="1"/>
    <col min="2" max="2" width="14" customWidth="1"/>
    <col min="3" max="12" width="16" customWidth="1"/>
  </cols>
  <sheetData>
    <row r="1" spans="1:12" ht="33.75" customHeight="1" x14ac:dyDescent="0.25">
      <c r="A1" s="21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</row>
    <row r="2" spans="1:12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20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30" customHeight="1" x14ac:dyDescent="0.25">
      <c r="A4" s="1" t="s">
        <v>2</v>
      </c>
      <c r="B4" s="1" t="s">
        <v>3</v>
      </c>
      <c r="C4" s="1" t="s">
        <v>4</v>
      </c>
      <c r="D4" s="1"/>
      <c r="E4" s="1"/>
      <c r="F4" s="1"/>
      <c r="G4" s="1"/>
      <c r="H4" s="1"/>
      <c r="I4" s="1"/>
      <c r="J4" s="1"/>
      <c r="K4" s="1"/>
      <c r="L4" s="1"/>
    </row>
    <row r="5" spans="1:12" ht="60" customHeight="1" x14ac:dyDescent="0.25">
      <c r="A5" s="3" t="s">
        <v>5</v>
      </c>
      <c r="B5" s="3">
        <f>COUNTA('Casos de Teste'!A2:A550)</f>
        <v>67</v>
      </c>
      <c r="C5" s="3" t="s">
        <v>6</v>
      </c>
      <c r="D5" s="3"/>
      <c r="E5" s="3"/>
      <c r="F5" s="3"/>
      <c r="G5" s="3"/>
      <c r="H5" s="3"/>
      <c r="I5" s="3"/>
      <c r="J5" s="3"/>
      <c r="K5" s="3"/>
      <c r="L5" s="3"/>
    </row>
    <row r="6" spans="1:12" ht="30" customHeight="1" x14ac:dyDescent="0.25">
      <c r="A6" s="3" t="s">
        <v>7</v>
      </c>
      <c r="B6" s="3">
        <f>COUNTIF('Casos de Teste'!L2:L550,"Passou")</f>
        <v>52</v>
      </c>
      <c r="C6" s="3" t="s">
        <v>8</v>
      </c>
      <c r="D6" s="3"/>
      <c r="E6" s="3"/>
      <c r="F6" s="3"/>
      <c r="G6" s="3"/>
      <c r="H6" s="3"/>
      <c r="I6" s="3"/>
      <c r="J6" s="3"/>
      <c r="K6" s="3"/>
      <c r="L6" s="3"/>
    </row>
    <row r="7" spans="1:12" ht="30" customHeight="1" x14ac:dyDescent="0.25">
      <c r="A7" s="3" t="s">
        <v>9</v>
      </c>
      <c r="B7" s="3">
        <f>COUNTIF('Casos de Teste'!L2:L550,"Falhou")</f>
        <v>15</v>
      </c>
      <c r="C7" s="3" t="s">
        <v>10</v>
      </c>
      <c r="D7" s="3"/>
      <c r="E7" s="3"/>
      <c r="F7" s="3"/>
      <c r="G7" s="3"/>
      <c r="H7" s="3"/>
      <c r="I7" s="3"/>
      <c r="J7" s="3"/>
      <c r="K7" s="3"/>
      <c r="L7" s="3"/>
    </row>
    <row r="8" spans="1:12" ht="30" customHeight="1" x14ac:dyDescent="0.25">
      <c r="A8" s="3" t="s">
        <v>11</v>
      </c>
      <c r="B8" s="3">
        <f>COUNTIF('Casos de Teste'!L2:L550,"Bloqueado")</f>
        <v>0</v>
      </c>
      <c r="C8" s="3" t="s">
        <v>12</v>
      </c>
      <c r="D8" s="3"/>
      <c r="E8" s="3"/>
      <c r="F8" s="3"/>
      <c r="G8" s="3"/>
      <c r="H8" s="3"/>
      <c r="I8" s="3"/>
      <c r="J8" s="3"/>
      <c r="K8" s="3"/>
      <c r="L8" s="3"/>
    </row>
    <row r="9" spans="1:12" ht="30" customHeight="1" x14ac:dyDescent="0.25">
      <c r="A9" s="3" t="s">
        <v>13</v>
      </c>
      <c r="B9" s="3">
        <f>COUNTIF('Casos de Teste'!L2:L550,"Não executado")+COUNTIF('Casos de Teste'!L2:L550,"Planejado")</f>
        <v>0</v>
      </c>
      <c r="C9" s="3" t="s">
        <v>14</v>
      </c>
      <c r="D9" s="3"/>
      <c r="E9" s="3"/>
      <c r="F9" s="3"/>
      <c r="G9" s="3"/>
      <c r="H9" s="3"/>
      <c r="I9" s="3"/>
      <c r="J9" s="3"/>
      <c r="K9" s="3"/>
      <c r="L9" s="3"/>
    </row>
    <row r="10" spans="1:12" ht="60" customHeight="1" x14ac:dyDescent="0.25">
      <c r="A10" s="3" t="s">
        <v>15</v>
      </c>
      <c r="B10" s="2">
        <f>IF(B5=0,0,B6/B5)</f>
        <v>0.77611940298507465</v>
      </c>
      <c r="C10" s="3" t="s">
        <v>16</v>
      </c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5">
      <c r="A13" s="1" t="s">
        <v>17</v>
      </c>
      <c r="B13" s="1" t="s">
        <v>18</v>
      </c>
      <c r="C13" s="1" t="s">
        <v>7</v>
      </c>
      <c r="D13" s="1" t="s">
        <v>9</v>
      </c>
      <c r="E13" s="1" t="s">
        <v>11</v>
      </c>
      <c r="F13" s="1"/>
      <c r="G13" s="1"/>
      <c r="H13" s="1"/>
      <c r="I13" s="1"/>
      <c r="J13" s="1"/>
      <c r="K13" s="1"/>
      <c r="L13" s="1"/>
    </row>
    <row r="14" spans="1:12" x14ac:dyDescent="0.25">
      <c r="A14" s="3" t="s">
        <v>19</v>
      </c>
      <c r="B14" s="3">
        <f>COUNTIF('Casos de Teste'!B:B,A14)</f>
        <v>4</v>
      </c>
      <c r="C14" s="3">
        <f>COUNTIFS('Casos de Teste'!B:B,A14,'Casos de Teste'!L:L,"Passou")</f>
        <v>2</v>
      </c>
      <c r="D14" s="3">
        <f>COUNTIFS('Casos de Teste'!B:B,A14,'Casos de Teste'!L:L,"Falhou")</f>
        <v>2</v>
      </c>
      <c r="E14" s="3">
        <f>COUNTIFS('Casos de Teste'!B:B,A14,'Casos de Teste'!L:L,"Bloqueado")</f>
        <v>0</v>
      </c>
      <c r="F14" s="3"/>
      <c r="G14" s="3"/>
      <c r="H14" s="3"/>
      <c r="I14" s="3"/>
      <c r="J14" s="3"/>
      <c r="K14" s="3"/>
      <c r="L14" s="3"/>
    </row>
    <row r="15" spans="1:12" x14ac:dyDescent="0.25">
      <c r="A15" s="3" t="s">
        <v>20</v>
      </c>
      <c r="B15" s="3">
        <f>COUNTIF('Casos de Teste'!B:B,A15)</f>
        <v>21</v>
      </c>
      <c r="C15" s="3">
        <f>COUNTIFS('Casos de Teste'!B:B,A15,'Casos de Teste'!L:L,"Passou")</f>
        <v>15</v>
      </c>
      <c r="D15" s="3">
        <f>COUNTIFS('Casos de Teste'!B:B,A15,'Casos de Teste'!L:L,"Falhou")</f>
        <v>6</v>
      </c>
      <c r="E15" s="3">
        <f>COUNTIFS('Casos de Teste'!B:B,A15,'Casos de Teste'!L:L,"Bloqueado")</f>
        <v>0</v>
      </c>
      <c r="F15" s="3"/>
      <c r="G15" s="3"/>
      <c r="H15" s="3"/>
      <c r="I15" s="3"/>
      <c r="J15" s="3"/>
      <c r="K15" s="3"/>
      <c r="L15" s="3"/>
    </row>
    <row r="16" spans="1:12" x14ac:dyDescent="0.25">
      <c r="A16" s="3" t="s">
        <v>21</v>
      </c>
      <c r="B16" s="3">
        <f>COUNTIF('Casos de Teste'!B:B,A16)</f>
        <v>29</v>
      </c>
      <c r="C16" s="3">
        <f>COUNTIFS('Casos de Teste'!B:B,A16,'Casos de Teste'!L:L,"Passou")</f>
        <v>25</v>
      </c>
      <c r="D16" s="3">
        <f>COUNTIFS('Casos de Teste'!B:B,A16,'Casos de Teste'!L:L,"Falhou")</f>
        <v>4</v>
      </c>
      <c r="E16" s="3">
        <f>COUNTIFS('Casos de Teste'!B:B,A16,'Casos de Teste'!L:L,"Bloqueado")</f>
        <v>0</v>
      </c>
      <c r="F16" s="3"/>
      <c r="G16" s="3"/>
      <c r="H16" s="3"/>
      <c r="I16" s="3"/>
      <c r="J16" s="3"/>
      <c r="K16" s="3"/>
      <c r="L16" s="3"/>
    </row>
    <row r="17" spans="1:12" x14ac:dyDescent="0.25">
      <c r="A17" s="3" t="s">
        <v>22</v>
      </c>
      <c r="B17" s="3">
        <f>COUNTIF('Casos de Teste'!B:B,A17)</f>
        <v>13</v>
      </c>
      <c r="C17" s="3">
        <f>COUNTIFS('Casos de Teste'!B:B,A17,'Casos de Teste'!L:L,"Passou")</f>
        <v>10</v>
      </c>
      <c r="D17" s="3">
        <f>COUNTIFS('Casos de Teste'!B:B,A17,'Casos de Teste'!L:L,"Falhou")</f>
        <v>3</v>
      </c>
      <c r="E17" s="3">
        <f>COUNTIFS('Casos de Teste'!B:B,A17,'Casos de Teste'!L:L,"Bloqueado")</f>
        <v>0</v>
      </c>
      <c r="F17" s="3"/>
      <c r="G17" s="3"/>
      <c r="H17" s="3"/>
      <c r="I17" s="3"/>
      <c r="J17" s="3"/>
      <c r="K17" s="3"/>
      <c r="L17" s="3"/>
    </row>
    <row r="18" spans="1:12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</sheetData>
  <mergeCells count="2">
    <mergeCell ref="A2:L2"/>
    <mergeCell ref="A1:L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8"/>
  <sheetViews>
    <sheetView zoomScale="70" zoomScaleNormal="70" workbookViewId="0">
      <pane ySplit="1" topLeftCell="A2" activePane="bottomLeft" state="frozen"/>
      <selection pane="bottomLeft" activeCell="N67" sqref="N67"/>
    </sheetView>
  </sheetViews>
  <sheetFormatPr defaultRowHeight="15" x14ac:dyDescent="0.25"/>
  <cols>
    <col min="1" max="1" width="16" customWidth="1"/>
    <col min="2" max="2" width="18" customWidth="1"/>
    <col min="3" max="3" width="14" customWidth="1"/>
    <col min="4" max="4" width="34" customWidth="1"/>
    <col min="5" max="6" width="14" customWidth="1"/>
    <col min="7" max="7" width="15.28515625" style="6" customWidth="1"/>
    <col min="8" max="8" width="18.85546875" style="6" customWidth="1"/>
    <col min="9" max="9" width="32" customWidth="1"/>
    <col min="10" max="10" width="30" customWidth="1"/>
    <col min="11" max="11" width="36" customWidth="1"/>
    <col min="12" max="13" width="16" customWidth="1"/>
    <col min="14" max="14" width="34" customWidth="1"/>
  </cols>
  <sheetData>
    <row r="1" spans="1:14" ht="15.75" customHeight="1" x14ac:dyDescent="0.25">
      <c r="A1" s="7" t="s">
        <v>23</v>
      </c>
      <c r="B1" s="7" t="s">
        <v>17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  <c r="H1" s="7" t="s">
        <v>29</v>
      </c>
      <c r="I1" s="7" t="s">
        <v>30</v>
      </c>
      <c r="J1" s="7" t="s">
        <v>31</v>
      </c>
      <c r="K1" s="7" t="s">
        <v>32</v>
      </c>
      <c r="L1" s="7" t="s">
        <v>33</v>
      </c>
      <c r="M1" s="7" t="s">
        <v>34</v>
      </c>
      <c r="N1" s="4" t="s">
        <v>35</v>
      </c>
    </row>
    <row r="2" spans="1:14" ht="30" customHeight="1" x14ac:dyDescent="0.25">
      <c r="A2" s="8" t="s">
        <v>36</v>
      </c>
      <c r="B2" s="8" t="s">
        <v>19</v>
      </c>
      <c r="C2" s="8" t="s">
        <v>37</v>
      </c>
      <c r="D2" s="8" t="s">
        <v>38</v>
      </c>
      <c r="E2" s="8" t="s">
        <v>39</v>
      </c>
      <c r="F2" s="8" t="s">
        <v>40</v>
      </c>
      <c r="G2" s="9" t="s">
        <v>41</v>
      </c>
      <c r="H2" s="10" t="s">
        <v>41</v>
      </c>
      <c r="I2" s="8" t="s">
        <v>42</v>
      </c>
      <c r="J2" s="8" t="s">
        <v>43</v>
      </c>
      <c r="K2" s="8" t="s">
        <v>44</v>
      </c>
      <c r="L2" s="12" t="s">
        <v>45</v>
      </c>
      <c r="M2" s="8" t="s">
        <v>46</v>
      </c>
      <c r="N2" s="5"/>
    </row>
    <row r="3" spans="1:14" ht="30" customHeight="1" x14ac:dyDescent="0.25">
      <c r="A3" s="8" t="s">
        <v>47</v>
      </c>
      <c r="B3" s="8" t="s">
        <v>19</v>
      </c>
      <c r="C3" s="8" t="s">
        <v>37</v>
      </c>
      <c r="D3" s="8" t="s">
        <v>48</v>
      </c>
      <c r="E3" s="8" t="s">
        <v>39</v>
      </c>
      <c r="F3" s="8" t="s">
        <v>49</v>
      </c>
      <c r="G3" s="11" t="s">
        <v>50</v>
      </c>
      <c r="H3" s="11" t="s">
        <v>50</v>
      </c>
      <c r="I3" s="8" t="s">
        <v>42</v>
      </c>
      <c r="J3" s="8" t="s">
        <v>51</v>
      </c>
      <c r="K3" s="8" t="s">
        <v>52</v>
      </c>
      <c r="L3" s="12" t="s">
        <v>45</v>
      </c>
      <c r="M3" s="8" t="s">
        <v>53</v>
      </c>
      <c r="N3" s="5"/>
    </row>
    <row r="4" spans="1:14" ht="30" customHeight="1" x14ac:dyDescent="0.25">
      <c r="A4" s="8" t="s">
        <v>54</v>
      </c>
      <c r="B4" s="8" t="s">
        <v>19</v>
      </c>
      <c r="C4" s="8" t="s">
        <v>37</v>
      </c>
      <c r="D4" s="8" t="s">
        <v>55</v>
      </c>
      <c r="E4" s="8" t="s">
        <v>39</v>
      </c>
      <c r="F4" s="8" t="s">
        <v>49</v>
      </c>
      <c r="G4" s="11" t="s">
        <v>50</v>
      </c>
      <c r="H4" s="10" t="s">
        <v>41</v>
      </c>
      <c r="I4" s="8" t="s">
        <v>56</v>
      </c>
      <c r="J4" s="8" t="s">
        <v>56</v>
      </c>
      <c r="K4" s="8" t="s">
        <v>52</v>
      </c>
      <c r="L4" s="13" t="s">
        <v>57</v>
      </c>
      <c r="M4" s="8" t="s">
        <v>58</v>
      </c>
      <c r="N4" s="5"/>
    </row>
    <row r="5" spans="1:14" ht="30" customHeight="1" x14ac:dyDescent="0.25">
      <c r="A5" s="8" t="s">
        <v>59</v>
      </c>
      <c r="B5" s="8" t="s">
        <v>19</v>
      </c>
      <c r="C5" s="8" t="s">
        <v>37</v>
      </c>
      <c r="D5" s="8" t="s">
        <v>60</v>
      </c>
      <c r="E5" s="8" t="s">
        <v>39</v>
      </c>
      <c r="F5" s="8" t="s">
        <v>49</v>
      </c>
      <c r="G5" s="11" t="s">
        <v>50</v>
      </c>
      <c r="H5" s="10" t="s">
        <v>41</v>
      </c>
      <c r="I5" s="8" t="s">
        <v>56</v>
      </c>
      <c r="J5" s="8" t="s">
        <v>56</v>
      </c>
      <c r="K5" s="8" t="s">
        <v>52</v>
      </c>
      <c r="L5" s="13" t="s">
        <v>57</v>
      </c>
      <c r="M5" s="8" t="s">
        <v>61</v>
      </c>
      <c r="N5" s="5"/>
    </row>
    <row r="6" spans="1:14" ht="30" customHeight="1" x14ac:dyDescent="0.25">
      <c r="A6" s="8" t="s">
        <v>62</v>
      </c>
      <c r="B6" s="8" t="s">
        <v>20</v>
      </c>
      <c r="C6" s="8" t="s">
        <v>63</v>
      </c>
      <c r="D6" s="8" t="s">
        <v>64</v>
      </c>
      <c r="E6" s="8" t="s">
        <v>65</v>
      </c>
      <c r="F6" s="8" t="s">
        <v>40</v>
      </c>
      <c r="G6" s="10" t="s">
        <v>41</v>
      </c>
      <c r="H6" s="10" t="s">
        <v>41</v>
      </c>
      <c r="I6" s="8" t="s">
        <v>56</v>
      </c>
      <c r="J6" s="8" t="s">
        <v>56</v>
      </c>
      <c r="K6" s="8" t="s">
        <v>44</v>
      </c>
      <c r="L6" s="12" t="s">
        <v>45</v>
      </c>
      <c r="M6" s="8" t="s">
        <v>66</v>
      </c>
      <c r="N6" s="5"/>
    </row>
    <row r="7" spans="1:14" ht="29.25" customHeight="1" x14ac:dyDescent="0.25">
      <c r="A7" s="8" t="s">
        <v>67</v>
      </c>
      <c r="B7" s="8" t="s">
        <v>20</v>
      </c>
      <c r="C7" s="8" t="s">
        <v>63</v>
      </c>
      <c r="D7" s="8" t="s">
        <v>68</v>
      </c>
      <c r="E7" s="8" t="s">
        <v>69</v>
      </c>
      <c r="F7" s="8" t="s">
        <v>40</v>
      </c>
      <c r="G7" s="10" t="s">
        <v>41</v>
      </c>
      <c r="H7" s="10" t="s">
        <v>41</v>
      </c>
      <c r="I7" s="8" t="s">
        <v>42</v>
      </c>
      <c r="J7" s="8" t="s">
        <v>70</v>
      </c>
      <c r="K7" s="8" t="s">
        <v>44</v>
      </c>
      <c r="L7" s="12" t="s">
        <v>45</v>
      </c>
      <c r="M7" s="8" t="s">
        <v>71</v>
      </c>
      <c r="N7" s="5"/>
    </row>
    <row r="8" spans="1:14" ht="30" customHeight="1" x14ac:dyDescent="0.25">
      <c r="A8" s="8" t="s">
        <v>72</v>
      </c>
      <c r="B8" s="8" t="s">
        <v>20</v>
      </c>
      <c r="C8" s="8" t="s">
        <v>63</v>
      </c>
      <c r="D8" s="8" t="s">
        <v>73</v>
      </c>
      <c r="E8" s="8" t="s">
        <v>65</v>
      </c>
      <c r="F8" s="8" t="s">
        <v>49</v>
      </c>
      <c r="G8" s="11" t="s">
        <v>50</v>
      </c>
      <c r="H8" s="11" t="s">
        <v>50</v>
      </c>
      <c r="I8" s="8" t="s">
        <v>56</v>
      </c>
      <c r="J8" s="8" t="s">
        <v>74</v>
      </c>
      <c r="K8" s="8" t="s">
        <v>75</v>
      </c>
      <c r="L8" s="12" t="s">
        <v>45</v>
      </c>
      <c r="M8" s="8" t="s">
        <v>76</v>
      </c>
      <c r="N8" s="5"/>
    </row>
    <row r="9" spans="1:14" ht="45" customHeight="1" x14ac:dyDescent="0.25">
      <c r="A9" s="8" t="s">
        <v>77</v>
      </c>
      <c r="B9" s="8" t="s">
        <v>20</v>
      </c>
      <c r="C9" s="8" t="s">
        <v>63</v>
      </c>
      <c r="D9" s="8" t="s">
        <v>78</v>
      </c>
      <c r="E9" s="8" t="s">
        <v>65</v>
      </c>
      <c r="F9" s="8" t="s">
        <v>49</v>
      </c>
      <c r="G9" s="11" t="s">
        <v>50</v>
      </c>
      <c r="H9" s="11" t="s">
        <v>50</v>
      </c>
      <c r="I9" s="8" t="s">
        <v>56</v>
      </c>
      <c r="J9" s="8" t="s">
        <v>79</v>
      </c>
      <c r="K9" s="8" t="s">
        <v>75</v>
      </c>
      <c r="L9" s="12" t="s">
        <v>45</v>
      </c>
      <c r="M9" s="8" t="s">
        <v>80</v>
      </c>
      <c r="N9" s="5"/>
    </row>
    <row r="10" spans="1:14" ht="30" customHeight="1" x14ac:dyDescent="0.25">
      <c r="A10" s="8" t="s">
        <v>81</v>
      </c>
      <c r="B10" s="8" t="s">
        <v>20</v>
      </c>
      <c r="C10" s="8" t="s">
        <v>37</v>
      </c>
      <c r="D10" s="8" t="s">
        <v>82</v>
      </c>
      <c r="E10" s="8" t="s">
        <v>39</v>
      </c>
      <c r="F10" s="8" t="s">
        <v>40</v>
      </c>
      <c r="G10" s="10" t="s">
        <v>41</v>
      </c>
      <c r="H10" s="10" t="s">
        <v>41</v>
      </c>
      <c r="I10" s="8" t="s">
        <v>83</v>
      </c>
      <c r="J10" s="8" t="s">
        <v>84</v>
      </c>
      <c r="K10" s="8" t="s">
        <v>85</v>
      </c>
      <c r="L10" s="12" t="s">
        <v>45</v>
      </c>
      <c r="M10" s="8" t="s">
        <v>86</v>
      </c>
      <c r="N10" s="5"/>
    </row>
    <row r="11" spans="1:14" ht="45" customHeight="1" x14ac:dyDescent="0.25">
      <c r="A11" s="8" t="s">
        <v>87</v>
      </c>
      <c r="B11" s="8" t="s">
        <v>20</v>
      </c>
      <c r="C11" s="8" t="s">
        <v>37</v>
      </c>
      <c r="D11" s="8" t="s">
        <v>88</v>
      </c>
      <c r="E11" s="8" t="s">
        <v>69</v>
      </c>
      <c r="F11" s="8" t="s">
        <v>40</v>
      </c>
      <c r="G11" s="11" t="s">
        <v>50</v>
      </c>
      <c r="H11" s="11" t="s">
        <v>50</v>
      </c>
      <c r="I11" s="8" t="s">
        <v>56</v>
      </c>
      <c r="J11" s="8" t="s">
        <v>89</v>
      </c>
      <c r="K11" s="8" t="s">
        <v>90</v>
      </c>
      <c r="L11" s="12" t="s">
        <v>45</v>
      </c>
      <c r="M11" s="8" t="s">
        <v>91</v>
      </c>
      <c r="N11" s="5"/>
    </row>
    <row r="12" spans="1:14" ht="30" customHeight="1" x14ac:dyDescent="0.25">
      <c r="A12" s="8" t="s">
        <v>92</v>
      </c>
      <c r="B12" s="8" t="s">
        <v>20</v>
      </c>
      <c r="C12" s="8" t="s">
        <v>37</v>
      </c>
      <c r="D12" s="8" t="s">
        <v>93</v>
      </c>
      <c r="E12" s="8" t="s">
        <v>69</v>
      </c>
      <c r="F12" s="8" t="s">
        <v>49</v>
      </c>
      <c r="G12" s="11" t="s">
        <v>50</v>
      </c>
      <c r="H12" s="11" t="s">
        <v>50</v>
      </c>
      <c r="I12" s="8" t="s">
        <v>56</v>
      </c>
      <c r="J12" s="8" t="s">
        <v>56</v>
      </c>
      <c r="K12" s="8" t="s">
        <v>94</v>
      </c>
      <c r="L12" s="12" t="s">
        <v>45</v>
      </c>
      <c r="M12" s="8" t="s">
        <v>95</v>
      </c>
      <c r="N12" s="5"/>
    </row>
    <row r="13" spans="1:14" ht="45" customHeight="1" x14ac:dyDescent="0.25">
      <c r="A13" s="8" t="s">
        <v>96</v>
      </c>
      <c r="B13" s="8" t="s">
        <v>20</v>
      </c>
      <c r="C13" s="8" t="s">
        <v>37</v>
      </c>
      <c r="D13" s="8" t="s">
        <v>97</v>
      </c>
      <c r="E13" s="8" t="s">
        <v>69</v>
      </c>
      <c r="F13" s="8" t="s">
        <v>49</v>
      </c>
      <c r="G13" s="11" t="s">
        <v>50</v>
      </c>
      <c r="H13" s="11" t="s">
        <v>50</v>
      </c>
      <c r="I13" s="8" t="s">
        <v>56</v>
      </c>
      <c r="J13" s="8" t="s">
        <v>98</v>
      </c>
      <c r="K13" s="8" t="s">
        <v>99</v>
      </c>
      <c r="L13" s="12" t="s">
        <v>45</v>
      </c>
      <c r="M13" s="8" t="s">
        <v>100</v>
      </c>
      <c r="N13" s="5"/>
    </row>
    <row r="14" spans="1:14" ht="30" customHeight="1" x14ac:dyDescent="0.25">
      <c r="A14" s="8" t="s">
        <v>101</v>
      </c>
      <c r="B14" s="8" t="s">
        <v>20</v>
      </c>
      <c r="C14" s="8" t="s">
        <v>37</v>
      </c>
      <c r="D14" s="8" t="s">
        <v>102</v>
      </c>
      <c r="E14" s="8" t="s">
        <v>39</v>
      </c>
      <c r="F14" s="8" t="s">
        <v>49</v>
      </c>
      <c r="G14" s="11" t="s">
        <v>50</v>
      </c>
      <c r="H14" s="10" t="s">
        <v>41</v>
      </c>
      <c r="I14" s="8" t="s">
        <v>56</v>
      </c>
      <c r="J14" s="8" t="s">
        <v>103</v>
      </c>
      <c r="K14" s="8" t="s">
        <v>104</v>
      </c>
      <c r="L14" s="13" t="s">
        <v>57</v>
      </c>
      <c r="M14" s="8" t="s">
        <v>105</v>
      </c>
      <c r="N14" s="5"/>
    </row>
    <row r="15" spans="1:14" ht="30" customHeight="1" x14ac:dyDescent="0.25">
      <c r="A15" s="8" t="s">
        <v>106</v>
      </c>
      <c r="B15" s="8" t="s">
        <v>20</v>
      </c>
      <c r="C15" s="8" t="s">
        <v>37</v>
      </c>
      <c r="D15" s="8" t="s">
        <v>107</v>
      </c>
      <c r="E15" s="8" t="s">
        <v>39</v>
      </c>
      <c r="F15" s="8" t="s">
        <v>49</v>
      </c>
      <c r="G15" s="11" t="s">
        <v>50</v>
      </c>
      <c r="H15" s="10" t="s">
        <v>41</v>
      </c>
      <c r="I15" s="8" t="s">
        <v>56</v>
      </c>
      <c r="J15" s="8" t="s">
        <v>108</v>
      </c>
      <c r="K15" s="8" t="s">
        <v>104</v>
      </c>
      <c r="L15" s="13" t="s">
        <v>57</v>
      </c>
      <c r="M15" s="8" t="s">
        <v>109</v>
      </c>
      <c r="N15" s="5"/>
    </row>
    <row r="16" spans="1:14" ht="45" customHeight="1" x14ac:dyDescent="0.25">
      <c r="A16" s="8" t="s">
        <v>110</v>
      </c>
      <c r="B16" s="8" t="s">
        <v>20</v>
      </c>
      <c r="C16" s="8" t="s">
        <v>37</v>
      </c>
      <c r="D16" s="8" t="s">
        <v>111</v>
      </c>
      <c r="E16" s="8" t="s">
        <v>39</v>
      </c>
      <c r="F16" s="8" t="s">
        <v>49</v>
      </c>
      <c r="G16" s="11" t="s">
        <v>50</v>
      </c>
      <c r="H16" s="10" t="s">
        <v>41</v>
      </c>
      <c r="I16" s="8" t="s">
        <v>56</v>
      </c>
      <c r="J16" s="8" t="s">
        <v>112</v>
      </c>
      <c r="K16" s="8" t="s">
        <v>104</v>
      </c>
      <c r="L16" s="13" t="s">
        <v>57</v>
      </c>
      <c r="M16" s="8" t="s">
        <v>113</v>
      </c>
      <c r="N16" s="5"/>
    </row>
    <row r="17" spans="1:14" ht="45" customHeight="1" x14ac:dyDescent="0.25">
      <c r="A17" s="8" t="s">
        <v>114</v>
      </c>
      <c r="B17" s="8" t="s">
        <v>20</v>
      </c>
      <c r="C17" s="8" t="s">
        <v>37</v>
      </c>
      <c r="D17" s="8" t="s">
        <v>115</v>
      </c>
      <c r="E17" s="8" t="s">
        <v>39</v>
      </c>
      <c r="F17" s="8" t="s">
        <v>49</v>
      </c>
      <c r="G17" s="11" t="s">
        <v>50</v>
      </c>
      <c r="H17" s="10" t="s">
        <v>41</v>
      </c>
      <c r="I17" s="8" t="s">
        <v>56</v>
      </c>
      <c r="J17" s="8" t="s">
        <v>116</v>
      </c>
      <c r="K17" s="8" t="s">
        <v>104</v>
      </c>
      <c r="L17" s="13" t="s">
        <v>57</v>
      </c>
      <c r="M17" s="8" t="s">
        <v>117</v>
      </c>
      <c r="N17" s="5"/>
    </row>
    <row r="18" spans="1:14" ht="45" customHeight="1" x14ac:dyDescent="0.25">
      <c r="A18" s="8" t="s">
        <v>118</v>
      </c>
      <c r="B18" s="8" t="s">
        <v>20</v>
      </c>
      <c r="C18" s="8" t="s">
        <v>37</v>
      </c>
      <c r="D18" s="8" t="s">
        <v>119</v>
      </c>
      <c r="E18" s="8" t="s">
        <v>39</v>
      </c>
      <c r="F18" s="8" t="s">
        <v>49</v>
      </c>
      <c r="G18" s="11" t="s">
        <v>50</v>
      </c>
      <c r="H18" s="11" t="s">
        <v>50</v>
      </c>
      <c r="I18" s="8" t="s">
        <v>120</v>
      </c>
      <c r="J18" s="8" t="s">
        <v>84</v>
      </c>
      <c r="K18" s="8" t="s">
        <v>121</v>
      </c>
      <c r="L18" s="12" t="s">
        <v>45</v>
      </c>
      <c r="M18" s="8" t="s">
        <v>122</v>
      </c>
      <c r="N18" s="5"/>
    </row>
    <row r="19" spans="1:14" ht="30" customHeight="1" x14ac:dyDescent="0.25">
      <c r="A19" s="8" t="s">
        <v>123</v>
      </c>
      <c r="B19" s="8" t="s">
        <v>20</v>
      </c>
      <c r="C19" s="8" t="s">
        <v>124</v>
      </c>
      <c r="D19" s="8" t="s">
        <v>125</v>
      </c>
      <c r="E19" s="8" t="s">
        <v>39</v>
      </c>
      <c r="F19" s="8" t="s">
        <v>40</v>
      </c>
      <c r="G19" s="10" t="s">
        <v>41</v>
      </c>
      <c r="H19" s="10" t="s">
        <v>41</v>
      </c>
      <c r="I19" s="8" t="s">
        <v>42</v>
      </c>
      <c r="J19" s="8" t="s">
        <v>84</v>
      </c>
      <c r="K19" s="8" t="s">
        <v>126</v>
      </c>
      <c r="L19" s="12" t="s">
        <v>45</v>
      </c>
      <c r="M19" s="8" t="s">
        <v>127</v>
      </c>
      <c r="N19" s="5"/>
    </row>
    <row r="20" spans="1:14" ht="45" customHeight="1" x14ac:dyDescent="0.25">
      <c r="A20" s="8" t="s">
        <v>128</v>
      </c>
      <c r="B20" s="8" t="s">
        <v>20</v>
      </c>
      <c r="C20" s="8" t="s">
        <v>124</v>
      </c>
      <c r="D20" s="8" t="s">
        <v>129</v>
      </c>
      <c r="E20" s="8" t="s">
        <v>69</v>
      </c>
      <c r="F20" s="8" t="s">
        <v>49</v>
      </c>
      <c r="G20" s="11" t="s">
        <v>50</v>
      </c>
      <c r="H20" s="11" t="s">
        <v>50</v>
      </c>
      <c r="I20" s="8" t="s">
        <v>42</v>
      </c>
      <c r="J20" s="8" t="s">
        <v>56</v>
      </c>
      <c r="K20" s="8" t="s">
        <v>130</v>
      </c>
      <c r="L20" s="12" t="s">
        <v>45</v>
      </c>
      <c r="M20" s="8" t="s">
        <v>131</v>
      </c>
      <c r="N20" s="5"/>
    </row>
    <row r="21" spans="1:14" ht="45" customHeight="1" x14ac:dyDescent="0.25">
      <c r="A21" s="8" t="s">
        <v>132</v>
      </c>
      <c r="B21" s="8" t="s">
        <v>20</v>
      </c>
      <c r="C21" s="8" t="s">
        <v>124</v>
      </c>
      <c r="D21" s="8" t="s">
        <v>119</v>
      </c>
      <c r="E21" s="8" t="s">
        <v>69</v>
      </c>
      <c r="F21" s="8" t="s">
        <v>40</v>
      </c>
      <c r="G21" s="11" t="s">
        <v>50</v>
      </c>
      <c r="H21" s="11" t="s">
        <v>50</v>
      </c>
      <c r="I21" s="8" t="s">
        <v>42</v>
      </c>
      <c r="J21" s="8" t="s">
        <v>84</v>
      </c>
      <c r="K21" s="8" t="s">
        <v>121</v>
      </c>
      <c r="L21" s="12" t="s">
        <v>45</v>
      </c>
      <c r="M21" s="8" t="s">
        <v>133</v>
      </c>
      <c r="N21" s="5"/>
    </row>
    <row r="22" spans="1:14" ht="35.25" customHeight="1" x14ac:dyDescent="0.25">
      <c r="A22" s="8" t="s">
        <v>134</v>
      </c>
      <c r="B22" s="8" t="s">
        <v>20</v>
      </c>
      <c r="C22" s="8" t="s">
        <v>124</v>
      </c>
      <c r="D22" s="8" t="s">
        <v>135</v>
      </c>
      <c r="E22" s="8" t="s">
        <v>39</v>
      </c>
      <c r="F22" s="8" t="s">
        <v>49</v>
      </c>
      <c r="G22" s="10" t="s">
        <v>41</v>
      </c>
      <c r="H22" s="10" t="s">
        <v>41</v>
      </c>
      <c r="I22" s="8" t="s">
        <v>56</v>
      </c>
      <c r="J22" s="8" t="s">
        <v>84</v>
      </c>
      <c r="K22" s="8" t="s">
        <v>104</v>
      </c>
      <c r="L22" s="13" t="s">
        <v>57</v>
      </c>
      <c r="M22" s="8" t="s">
        <v>136</v>
      </c>
      <c r="N22" s="5"/>
    </row>
    <row r="23" spans="1:14" ht="45" customHeight="1" x14ac:dyDescent="0.25">
      <c r="A23" s="8" t="s">
        <v>137</v>
      </c>
      <c r="B23" s="8" t="s">
        <v>20</v>
      </c>
      <c r="C23" s="8" t="s">
        <v>138</v>
      </c>
      <c r="D23" s="8" t="s">
        <v>139</v>
      </c>
      <c r="E23" s="8" t="s">
        <v>39</v>
      </c>
      <c r="F23" s="8" t="s">
        <v>40</v>
      </c>
      <c r="G23" s="10" t="s">
        <v>41</v>
      </c>
      <c r="H23" s="10" t="s">
        <v>41</v>
      </c>
      <c r="I23" s="8" t="s">
        <v>42</v>
      </c>
      <c r="J23" s="8" t="s">
        <v>70</v>
      </c>
      <c r="K23" s="8" t="s">
        <v>140</v>
      </c>
      <c r="L23" s="12" t="s">
        <v>45</v>
      </c>
      <c r="M23" s="8" t="s">
        <v>141</v>
      </c>
      <c r="N23" s="5"/>
    </row>
    <row r="24" spans="1:14" ht="45" customHeight="1" x14ac:dyDescent="0.25">
      <c r="A24" s="8" t="s">
        <v>142</v>
      </c>
      <c r="B24" s="8" t="s">
        <v>20</v>
      </c>
      <c r="C24" s="8" t="s">
        <v>138</v>
      </c>
      <c r="D24" s="8" t="s">
        <v>143</v>
      </c>
      <c r="E24" s="8" t="s">
        <v>39</v>
      </c>
      <c r="F24" s="8" t="s">
        <v>49</v>
      </c>
      <c r="G24" s="11" t="s">
        <v>50</v>
      </c>
      <c r="H24" s="10" t="s">
        <v>41</v>
      </c>
      <c r="I24" s="8" t="s">
        <v>56</v>
      </c>
      <c r="J24" s="8" t="s">
        <v>56</v>
      </c>
      <c r="K24" s="8" t="s">
        <v>144</v>
      </c>
      <c r="L24" s="13" t="s">
        <v>57</v>
      </c>
      <c r="M24" s="8" t="s">
        <v>145</v>
      </c>
      <c r="N24" s="5"/>
    </row>
    <row r="25" spans="1:14" ht="30" customHeight="1" x14ac:dyDescent="0.25">
      <c r="A25" s="8" t="s">
        <v>146</v>
      </c>
      <c r="B25" s="8" t="s">
        <v>20</v>
      </c>
      <c r="C25" s="8" t="s">
        <v>138</v>
      </c>
      <c r="D25" s="8" t="s">
        <v>147</v>
      </c>
      <c r="E25" s="8" t="s">
        <v>39</v>
      </c>
      <c r="F25" s="8" t="s">
        <v>49</v>
      </c>
      <c r="G25" s="11" t="s">
        <v>50</v>
      </c>
      <c r="H25" s="11" t="s">
        <v>50</v>
      </c>
      <c r="I25" s="8" t="s">
        <v>56</v>
      </c>
      <c r="J25" s="8" t="s">
        <v>56</v>
      </c>
      <c r="K25" s="8" t="s">
        <v>126</v>
      </c>
      <c r="L25" s="12" t="s">
        <v>45</v>
      </c>
      <c r="M25" s="8" t="s">
        <v>148</v>
      </c>
      <c r="N25" s="5"/>
    </row>
    <row r="26" spans="1:14" ht="30" customHeight="1" x14ac:dyDescent="0.25">
      <c r="A26" s="8" t="s">
        <v>149</v>
      </c>
      <c r="B26" s="8" t="s">
        <v>20</v>
      </c>
      <c r="C26" s="8" t="s">
        <v>138</v>
      </c>
      <c r="D26" s="8" t="s">
        <v>150</v>
      </c>
      <c r="E26" s="8" t="s">
        <v>39</v>
      </c>
      <c r="F26" s="8" t="s">
        <v>49</v>
      </c>
      <c r="G26" s="11" t="s">
        <v>50</v>
      </c>
      <c r="H26" s="11" t="s">
        <v>50</v>
      </c>
      <c r="I26" s="8" t="s">
        <v>151</v>
      </c>
      <c r="J26" s="8" t="s">
        <v>70</v>
      </c>
      <c r="K26" s="8" t="s">
        <v>126</v>
      </c>
      <c r="L26" s="12" t="s">
        <v>45</v>
      </c>
      <c r="M26" s="8" t="s">
        <v>152</v>
      </c>
      <c r="N26" s="5"/>
    </row>
    <row r="27" spans="1:14" ht="30" customHeight="1" x14ac:dyDescent="0.25">
      <c r="A27" s="8" t="s">
        <v>153</v>
      </c>
      <c r="B27" s="8" t="s">
        <v>21</v>
      </c>
      <c r="C27" s="8" t="s">
        <v>63</v>
      </c>
      <c r="D27" s="8" t="s">
        <v>154</v>
      </c>
      <c r="E27" s="8" t="s">
        <v>39</v>
      </c>
      <c r="F27" s="8" t="s">
        <v>40</v>
      </c>
      <c r="G27" s="10" t="s">
        <v>41</v>
      </c>
      <c r="H27" s="10" t="s">
        <v>41</v>
      </c>
      <c r="I27" s="8" t="s">
        <v>56</v>
      </c>
      <c r="J27" s="8" t="s">
        <v>56</v>
      </c>
      <c r="K27" s="8" t="s">
        <v>155</v>
      </c>
      <c r="L27" s="12" t="s">
        <v>45</v>
      </c>
      <c r="M27" s="8" t="s">
        <v>156</v>
      </c>
      <c r="N27" s="5"/>
    </row>
    <row r="28" spans="1:14" ht="30" customHeight="1" x14ac:dyDescent="0.25">
      <c r="A28" s="8" t="s">
        <v>157</v>
      </c>
      <c r="B28" s="8" t="s">
        <v>21</v>
      </c>
      <c r="C28" s="8" t="s">
        <v>63</v>
      </c>
      <c r="D28" s="8" t="s">
        <v>158</v>
      </c>
      <c r="E28" s="8" t="s">
        <v>39</v>
      </c>
      <c r="F28" s="8" t="s">
        <v>40</v>
      </c>
      <c r="G28" s="10" t="s">
        <v>41</v>
      </c>
      <c r="H28" s="10" t="s">
        <v>41</v>
      </c>
      <c r="I28" s="8" t="s">
        <v>159</v>
      </c>
      <c r="J28" s="8" t="s">
        <v>160</v>
      </c>
      <c r="K28" s="8" t="s">
        <v>161</v>
      </c>
      <c r="L28" s="12" t="s">
        <v>45</v>
      </c>
      <c r="M28" s="8" t="s">
        <v>162</v>
      </c>
      <c r="N28" s="5"/>
    </row>
    <row r="29" spans="1:14" ht="30" customHeight="1" x14ac:dyDescent="0.25">
      <c r="A29" s="8" t="s">
        <v>163</v>
      </c>
      <c r="B29" s="8" t="s">
        <v>21</v>
      </c>
      <c r="C29" s="8" t="s">
        <v>63</v>
      </c>
      <c r="D29" s="8" t="s">
        <v>164</v>
      </c>
      <c r="E29" s="8" t="s">
        <v>65</v>
      </c>
      <c r="F29" s="8" t="s">
        <v>49</v>
      </c>
      <c r="G29" s="11" t="s">
        <v>50</v>
      </c>
      <c r="H29" s="11" t="s">
        <v>50</v>
      </c>
      <c r="I29" s="8" t="s">
        <v>56</v>
      </c>
      <c r="J29" s="8" t="s">
        <v>56</v>
      </c>
      <c r="K29" s="8" t="s">
        <v>75</v>
      </c>
      <c r="L29" s="12" t="s">
        <v>45</v>
      </c>
      <c r="M29" s="8" t="s">
        <v>165</v>
      </c>
      <c r="N29" s="5"/>
    </row>
    <row r="30" spans="1:14" ht="30" customHeight="1" x14ac:dyDescent="0.25">
      <c r="A30" s="8" t="s">
        <v>166</v>
      </c>
      <c r="B30" s="8" t="s">
        <v>21</v>
      </c>
      <c r="C30" s="8" t="s">
        <v>63</v>
      </c>
      <c r="D30" s="8" t="s">
        <v>167</v>
      </c>
      <c r="E30" s="8" t="s">
        <v>65</v>
      </c>
      <c r="F30" s="8" t="s">
        <v>49</v>
      </c>
      <c r="G30" s="11" t="s">
        <v>50</v>
      </c>
      <c r="H30" s="11" t="s">
        <v>50</v>
      </c>
      <c r="I30" s="8" t="s">
        <v>56</v>
      </c>
      <c r="J30" s="8" t="s">
        <v>56</v>
      </c>
      <c r="K30" s="8" t="s">
        <v>168</v>
      </c>
      <c r="L30" s="12" t="s">
        <v>45</v>
      </c>
      <c r="M30" s="8" t="s">
        <v>169</v>
      </c>
      <c r="N30" s="5"/>
    </row>
    <row r="31" spans="1:14" ht="30" customHeight="1" x14ac:dyDescent="0.25">
      <c r="A31" s="8" t="s">
        <v>170</v>
      </c>
      <c r="B31" s="8" t="s">
        <v>21</v>
      </c>
      <c r="C31" s="8" t="s">
        <v>37</v>
      </c>
      <c r="D31" s="8" t="s">
        <v>171</v>
      </c>
      <c r="E31" s="8" t="s">
        <v>39</v>
      </c>
      <c r="F31" s="8" t="s">
        <v>40</v>
      </c>
      <c r="G31" s="10" t="s">
        <v>41</v>
      </c>
      <c r="H31" s="10" t="s">
        <v>41</v>
      </c>
      <c r="I31" s="8" t="s">
        <v>172</v>
      </c>
      <c r="J31" s="8" t="s">
        <v>173</v>
      </c>
      <c r="K31" s="8" t="s">
        <v>174</v>
      </c>
      <c r="L31" s="12" t="s">
        <v>45</v>
      </c>
      <c r="M31" s="8" t="s">
        <v>175</v>
      </c>
      <c r="N31" s="5"/>
    </row>
    <row r="32" spans="1:14" ht="45" customHeight="1" x14ac:dyDescent="0.25">
      <c r="A32" s="8" t="s">
        <v>176</v>
      </c>
      <c r="B32" s="8" t="s">
        <v>21</v>
      </c>
      <c r="C32" s="8" t="s">
        <v>37</v>
      </c>
      <c r="D32" s="8" t="s">
        <v>177</v>
      </c>
      <c r="E32" s="8" t="s">
        <v>39</v>
      </c>
      <c r="F32" s="8" t="s">
        <v>40</v>
      </c>
      <c r="G32" s="10" t="s">
        <v>41</v>
      </c>
      <c r="H32" s="10" t="s">
        <v>41</v>
      </c>
      <c r="I32" s="8" t="s">
        <v>172</v>
      </c>
      <c r="J32" s="8" t="s">
        <v>178</v>
      </c>
      <c r="K32" s="8" t="s">
        <v>85</v>
      </c>
      <c r="L32" s="13" t="s">
        <v>57</v>
      </c>
      <c r="M32" s="8" t="s">
        <v>179</v>
      </c>
      <c r="N32" s="5"/>
    </row>
    <row r="33" spans="1:14" ht="45" customHeight="1" x14ac:dyDescent="0.25">
      <c r="A33" s="8" t="s">
        <v>180</v>
      </c>
      <c r="B33" s="8" t="s">
        <v>21</v>
      </c>
      <c r="C33" s="8" t="s">
        <v>37</v>
      </c>
      <c r="D33" s="8" t="s">
        <v>181</v>
      </c>
      <c r="E33" s="8" t="s">
        <v>39</v>
      </c>
      <c r="F33" s="8" t="s">
        <v>40</v>
      </c>
      <c r="G33" s="11" t="s">
        <v>50</v>
      </c>
      <c r="H33" s="11" t="s">
        <v>50</v>
      </c>
      <c r="I33" s="8" t="s">
        <v>172</v>
      </c>
      <c r="J33" s="8" t="s">
        <v>182</v>
      </c>
      <c r="K33" s="8" t="s">
        <v>183</v>
      </c>
      <c r="L33" s="12" t="s">
        <v>45</v>
      </c>
      <c r="M33" s="8" t="s">
        <v>184</v>
      </c>
      <c r="N33" s="5"/>
    </row>
    <row r="34" spans="1:14" ht="45" customHeight="1" x14ac:dyDescent="0.25">
      <c r="A34" s="8" t="s">
        <v>185</v>
      </c>
      <c r="B34" s="8" t="s">
        <v>21</v>
      </c>
      <c r="C34" s="8" t="s">
        <v>37</v>
      </c>
      <c r="D34" s="8" t="s">
        <v>186</v>
      </c>
      <c r="E34" s="8" t="s">
        <v>39</v>
      </c>
      <c r="F34" s="8" t="s">
        <v>40</v>
      </c>
      <c r="G34" s="11" t="s">
        <v>50</v>
      </c>
      <c r="H34" s="11" t="s">
        <v>50</v>
      </c>
      <c r="I34" s="8" t="s">
        <v>172</v>
      </c>
      <c r="J34" s="8" t="s">
        <v>187</v>
      </c>
      <c r="K34" s="8" t="s">
        <v>188</v>
      </c>
      <c r="L34" s="12" t="s">
        <v>45</v>
      </c>
      <c r="M34" s="8" t="s">
        <v>189</v>
      </c>
      <c r="N34" s="5"/>
    </row>
    <row r="35" spans="1:14" ht="30" customHeight="1" x14ac:dyDescent="0.25">
      <c r="A35" s="8" t="s">
        <v>190</v>
      </c>
      <c r="B35" s="8" t="s">
        <v>21</v>
      </c>
      <c r="C35" s="8" t="s">
        <v>37</v>
      </c>
      <c r="D35" s="8" t="s">
        <v>191</v>
      </c>
      <c r="E35" s="8" t="s">
        <v>39</v>
      </c>
      <c r="F35" s="8" t="s">
        <v>49</v>
      </c>
      <c r="G35" s="10" t="s">
        <v>41</v>
      </c>
      <c r="H35" s="10" t="s">
        <v>41</v>
      </c>
      <c r="I35" s="8" t="s">
        <v>172</v>
      </c>
      <c r="J35" s="8" t="s">
        <v>192</v>
      </c>
      <c r="K35" s="8" t="s">
        <v>104</v>
      </c>
      <c r="L35" s="13" t="s">
        <v>57</v>
      </c>
      <c r="M35" s="8" t="s">
        <v>193</v>
      </c>
      <c r="N35" s="5"/>
    </row>
    <row r="36" spans="1:14" ht="45" customHeight="1" x14ac:dyDescent="0.25">
      <c r="A36" s="8" t="s">
        <v>194</v>
      </c>
      <c r="B36" s="8" t="s">
        <v>21</v>
      </c>
      <c r="C36" s="8" t="s">
        <v>37</v>
      </c>
      <c r="D36" s="8" t="s">
        <v>195</v>
      </c>
      <c r="E36" s="8" t="s">
        <v>39</v>
      </c>
      <c r="F36" s="8" t="s">
        <v>49</v>
      </c>
      <c r="G36" s="11" t="s">
        <v>50</v>
      </c>
      <c r="H36" s="10" t="s">
        <v>41</v>
      </c>
      <c r="I36" s="8" t="s">
        <v>172</v>
      </c>
      <c r="J36" s="8" t="s">
        <v>196</v>
      </c>
      <c r="K36" s="8" t="s">
        <v>197</v>
      </c>
      <c r="L36" s="12" t="s">
        <v>45</v>
      </c>
      <c r="M36" s="8" t="s">
        <v>198</v>
      </c>
      <c r="N36" s="5"/>
    </row>
    <row r="37" spans="1:14" ht="45" customHeight="1" x14ac:dyDescent="0.25">
      <c r="A37" s="8" t="s">
        <v>199</v>
      </c>
      <c r="B37" s="8" t="s">
        <v>21</v>
      </c>
      <c r="C37" s="8" t="s">
        <v>37</v>
      </c>
      <c r="D37" s="8" t="s">
        <v>200</v>
      </c>
      <c r="E37" s="8" t="s">
        <v>69</v>
      </c>
      <c r="F37" s="8" t="s">
        <v>49</v>
      </c>
      <c r="G37" s="11" t="s">
        <v>50</v>
      </c>
      <c r="H37" s="11" t="s">
        <v>50</v>
      </c>
      <c r="I37" s="8" t="s">
        <v>201</v>
      </c>
      <c r="J37" s="8" t="s">
        <v>202</v>
      </c>
      <c r="K37" s="8" t="s">
        <v>203</v>
      </c>
      <c r="L37" s="12" t="s">
        <v>45</v>
      </c>
      <c r="M37" s="8" t="s">
        <v>204</v>
      </c>
      <c r="N37" s="5"/>
    </row>
    <row r="38" spans="1:14" ht="30" customHeight="1" x14ac:dyDescent="0.25">
      <c r="A38" s="8" t="s">
        <v>205</v>
      </c>
      <c r="B38" s="8" t="s">
        <v>21</v>
      </c>
      <c r="C38" s="8" t="s">
        <v>37</v>
      </c>
      <c r="D38" s="8" t="s">
        <v>206</v>
      </c>
      <c r="E38" s="8" t="s">
        <v>69</v>
      </c>
      <c r="F38" s="8" t="s">
        <v>49</v>
      </c>
      <c r="G38" s="11" t="s">
        <v>50</v>
      </c>
      <c r="H38" s="11" t="s">
        <v>50</v>
      </c>
      <c r="I38" s="8" t="s">
        <v>56</v>
      </c>
      <c r="J38" s="8" t="s">
        <v>173</v>
      </c>
      <c r="K38" s="8" t="s">
        <v>207</v>
      </c>
      <c r="L38" s="12" t="s">
        <v>45</v>
      </c>
      <c r="M38" s="8" t="s">
        <v>208</v>
      </c>
      <c r="N38" s="5"/>
    </row>
    <row r="39" spans="1:14" ht="30" customHeight="1" x14ac:dyDescent="0.25">
      <c r="A39" s="8" t="s">
        <v>209</v>
      </c>
      <c r="B39" s="8" t="s">
        <v>21</v>
      </c>
      <c r="C39" s="8" t="s">
        <v>37</v>
      </c>
      <c r="D39" s="8" t="s">
        <v>210</v>
      </c>
      <c r="E39" s="8" t="s">
        <v>69</v>
      </c>
      <c r="F39" s="8" t="s">
        <v>49</v>
      </c>
      <c r="G39" s="11" t="s">
        <v>50</v>
      </c>
      <c r="H39" s="11" t="s">
        <v>50</v>
      </c>
      <c r="I39" s="8" t="s">
        <v>211</v>
      </c>
      <c r="J39" s="8" t="s">
        <v>173</v>
      </c>
      <c r="K39" s="8" t="s">
        <v>207</v>
      </c>
      <c r="L39" s="12" t="s">
        <v>45</v>
      </c>
      <c r="M39" s="8" t="s">
        <v>212</v>
      </c>
      <c r="N39" s="5"/>
    </row>
    <row r="40" spans="1:14" ht="30" customHeight="1" x14ac:dyDescent="0.25">
      <c r="A40" s="8" t="s">
        <v>213</v>
      </c>
      <c r="B40" s="8" t="s">
        <v>21</v>
      </c>
      <c r="C40" s="8" t="s">
        <v>37</v>
      </c>
      <c r="D40" s="8" t="s">
        <v>214</v>
      </c>
      <c r="E40" s="8" t="s">
        <v>39</v>
      </c>
      <c r="F40" s="8" t="s">
        <v>49</v>
      </c>
      <c r="G40" s="11" t="s">
        <v>50</v>
      </c>
      <c r="H40" s="10" t="s">
        <v>41</v>
      </c>
      <c r="I40" s="8" t="s">
        <v>215</v>
      </c>
      <c r="J40" s="8" t="s">
        <v>173</v>
      </c>
      <c r="K40" s="8" t="s">
        <v>216</v>
      </c>
      <c r="L40" s="12" t="s">
        <v>45</v>
      </c>
      <c r="M40" s="8" t="s">
        <v>217</v>
      </c>
      <c r="N40" s="5"/>
    </row>
    <row r="41" spans="1:14" ht="45" customHeight="1" x14ac:dyDescent="0.25">
      <c r="A41" s="8" t="s">
        <v>218</v>
      </c>
      <c r="B41" s="8" t="s">
        <v>21</v>
      </c>
      <c r="C41" s="8" t="s">
        <v>124</v>
      </c>
      <c r="D41" s="8" t="s">
        <v>219</v>
      </c>
      <c r="E41" s="8" t="s">
        <v>39</v>
      </c>
      <c r="F41" s="8" t="s">
        <v>40</v>
      </c>
      <c r="G41" s="11" t="s">
        <v>50</v>
      </c>
      <c r="H41" s="11" t="s">
        <v>50</v>
      </c>
      <c r="I41" s="8" t="s">
        <v>201</v>
      </c>
      <c r="J41" s="8" t="s">
        <v>220</v>
      </c>
      <c r="K41" s="8" t="s">
        <v>221</v>
      </c>
      <c r="L41" s="12" t="s">
        <v>45</v>
      </c>
      <c r="M41" s="8" t="s">
        <v>222</v>
      </c>
      <c r="N41" s="5"/>
    </row>
    <row r="42" spans="1:14" ht="45" customHeight="1" x14ac:dyDescent="0.25">
      <c r="A42" s="8" t="s">
        <v>223</v>
      </c>
      <c r="B42" s="8" t="s">
        <v>21</v>
      </c>
      <c r="C42" s="8" t="s">
        <v>124</v>
      </c>
      <c r="D42" s="8" t="s">
        <v>224</v>
      </c>
      <c r="E42" s="8" t="s">
        <v>69</v>
      </c>
      <c r="F42" s="8" t="s">
        <v>49</v>
      </c>
      <c r="G42" s="11" t="s">
        <v>50</v>
      </c>
      <c r="H42" s="11" t="s">
        <v>50</v>
      </c>
      <c r="I42" s="8" t="s">
        <v>172</v>
      </c>
      <c r="J42" s="8" t="s">
        <v>225</v>
      </c>
      <c r="K42" s="8" t="s">
        <v>226</v>
      </c>
      <c r="L42" s="12" t="s">
        <v>45</v>
      </c>
      <c r="M42" s="8" t="s">
        <v>227</v>
      </c>
      <c r="N42" s="5"/>
    </row>
    <row r="43" spans="1:14" ht="46.5" customHeight="1" x14ac:dyDescent="0.25">
      <c r="A43" s="8" t="s">
        <v>228</v>
      </c>
      <c r="B43" s="8" t="s">
        <v>21</v>
      </c>
      <c r="C43" s="8" t="s">
        <v>124</v>
      </c>
      <c r="D43" s="8" t="s">
        <v>229</v>
      </c>
      <c r="E43" s="8" t="s">
        <v>39</v>
      </c>
      <c r="F43" s="8" t="s">
        <v>49</v>
      </c>
      <c r="G43" s="10" t="s">
        <v>41</v>
      </c>
      <c r="H43" s="10" t="s">
        <v>41</v>
      </c>
      <c r="I43" s="8" t="s">
        <v>172</v>
      </c>
      <c r="J43" s="8" t="s">
        <v>230</v>
      </c>
      <c r="K43" s="8" t="s">
        <v>104</v>
      </c>
      <c r="L43" s="13" t="s">
        <v>57</v>
      </c>
      <c r="M43" s="8" t="s">
        <v>231</v>
      </c>
      <c r="N43" s="5"/>
    </row>
    <row r="44" spans="1:14" ht="60" customHeight="1" x14ac:dyDescent="0.25">
      <c r="A44" s="8" t="s">
        <v>232</v>
      </c>
      <c r="B44" s="8" t="s">
        <v>21</v>
      </c>
      <c r="C44" s="8" t="s">
        <v>124</v>
      </c>
      <c r="D44" s="8" t="s">
        <v>233</v>
      </c>
      <c r="E44" s="8" t="s">
        <v>69</v>
      </c>
      <c r="F44" s="8" t="s">
        <v>49</v>
      </c>
      <c r="G44" s="11" t="s">
        <v>50</v>
      </c>
      <c r="H44" s="11" t="s">
        <v>50</v>
      </c>
      <c r="I44" s="8" t="s">
        <v>201</v>
      </c>
      <c r="J44" s="8" t="s">
        <v>234</v>
      </c>
      <c r="K44" s="8" t="s">
        <v>235</v>
      </c>
      <c r="L44" s="12" t="s">
        <v>45</v>
      </c>
      <c r="M44" s="8" t="s">
        <v>236</v>
      </c>
      <c r="N44" s="5"/>
    </row>
    <row r="45" spans="1:14" ht="45" customHeight="1" x14ac:dyDescent="0.25">
      <c r="A45" s="8" t="s">
        <v>237</v>
      </c>
      <c r="B45" s="8" t="s">
        <v>21</v>
      </c>
      <c r="C45" s="8" t="s">
        <v>124</v>
      </c>
      <c r="D45" s="8" t="s">
        <v>238</v>
      </c>
      <c r="E45" s="8" t="s">
        <v>69</v>
      </c>
      <c r="F45" s="8" t="s">
        <v>40</v>
      </c>
      <c r="G45" s="11" t="s">
        <v>50</v>
      </c>
      <c r="H45" s="11" t="s">
        <v>50</v>
      </c>
      <c r="I45" s="8" t="s">
        <v>201</v>
      </c>
      <c r="J45" s="8" t="s">
        <v>220</v>
      </c>
      <c r="K45" s="8" t="s">
        <v>221</v>
      </c>
      <c r="L45" s="12" t="s">
        <v>45</v>
      </c>
      <c r="M45" s="8" t="s">
        <v>239</v>
      </c>
      <c r="N45" s="5"/>
    </row>
    <row r="46" spans="1:14" ht="45" customHeight="1" x14ac:dyDescent="0.25">
      <c r="A46" s="8" t="s">
        <v>240</v>
      </c>
      <c r="B46" s="8" t="s">
        <v>21</v>
      </c>
      <c r="C46" s="8" t="s">
        <v>124</v>
      </c>
      <c r="D46" s="8" t="s">
        <v>241</v>
      </c>
      <c r="E46" s="8" t="s">
        <v>39</v>
      </c>
      <c r="F46" s="8" t="s">
        <v>49</v>
      </c>
      <c r="G46" s="11" t="s">
        <v>50</v>
      </c>
      <c r="H46" s="10" t="s">
        <v>41</v>
      </c>
      <c r="I46" s="8" t="s">
        <v>201</v>
      </c>
      <c r="J46" s="8" t="s">
        <v>220</v>
      </c>
      <c r="K46" s="8" t="s">
        <v>242</v>
      </c>
      <c r="L46" s="12" t="s">
        <v>45</v>
      </c>
      <c r="M46" s="8" t="s">
        <v>243</v>
      </c>
      <c r="N46" s="5"/>
    </row>
    <row r="47" spans="1:14" ht="45" customHeight="1" x14ac:dyDescent="0.25">
      <c r="A47" s="8" t="s">
        <v>244</v>
      </c>
      <c r="B47" s="8" t="s">
        <v>21</v>
      </c>
      <c r="C47" s="8" t="s">
        <v>124</v>
      </c>
      <c r="D47" s="8" t="s">
        <v>245</v>
      </c>
      <c r="E47" s="8" t="s">
        <v>39</v>
      </c>
      <c r="F47" s="8" t="s">
        <v>49</v>
      </c>
      <c r="G47" s="11" t="s">
        <v>50</v>
      </c>
      <c r="H47" s="11" t="s">
        <v>50</v>
      </c>
      <c r="I47" s="8" t="s">
        <v>211</v>
      </c>
      <c r="J47" s="8" t="s">
        <v>246</v>
      </c>
      <c r="K47" s="8" t="s">
        <v>207</v>
      </c>
      <c r="L47" s="12" t="s">
        <v>45</v>
      </c>
      <c r="M47" s="8" t="s">
        <v>247</v>
      </c>
      <c r="N47" s="5"/>
    </row>
    <row r="48" spans="1:14" ht="45" customHeight="1" x14ac:dyDescent="0.25">
      <c r="A48" s="8" t="s">
        <v>248</v>
      </c>
      <c r="B48" s="8" t="s">
        <v>21</v>
      </c>
      <c r="C48" s="8" t="s">
        <v>124</v>
      </c>
      <c r="D48" s="8" t="s">
        <v>249</v>
      </c>
      <c r="E48" s="8" t="s">
        <v>39</v>
      </c>
      <c r="F48" s="8" t="s">
        <v>49</v>
      </c>
      <c r="G48" s="11" t="s">
        <v>50</v>
      </c>
      <c r="H48" s="11" t="s">
        <v>50</v>
      </c>
      <c r="I48" s="8" t="s">
        <v>56</v>
      </c>
      <c r="J48" s="8" t="s">
        <v>220</v>
      </c>
      <c r="K48" s="8" t="s">
        <v>207</v>
      </c>
      <c r="L48" s="12" t="s">
        <v>45</v>
      </c>
      <c r="M48" s="8" t="s">
        <v>250</v>
      </c>
      <c r="N48" s="5"/>
    </row>
    <row r="49" spans="1:14" ht="45" customHeight="1" x14ac:dyDescent="0.25">
      <c r="A49" s="8" t="s">
        <v>251</v>
      </c>
      <c r="B49" s="8" t="s">
        <v>21</v>
      </c>
      <c r="C49" s="8" t="s">
        <v>124</v>
      </c>
      <c r="D49" s="8" t="s">
        <v>252</v>
      </c>
      <c r="E49" s="8" t="s">
        <v>39</v>
      </c>
      <c r="F49" s="8" t="s">
        <v>49</v>
      </c>
      <c r="G49" s="10" t="s">
        <v>41</v>
      </c>
      <c r="H49" s="10" t="s">
        <v>41</v>
      </c>
      <c r="I49" s="8" t="s">
        <v>201</v>
      </c>
      <c r="J49" s="8" t="s">
        <v>246</v>
      </c>
      <c r="K49" s="8" t="s">
        <v>226</v>
      </c>
      <c r="L49" s="13" t="s">
        <v>57</v>
      </c>
      <c r="M49" s="8" t="s">
        <v>253</v>
      </c>
      <c r="N49" s="5"/>
    </row>
    <row r="50" spans="1:14" ht="45" customHeight="1" x14ac:dyDescent="0.25">
      <c r="A50" s="8" t="s">
        <v>254</v>
      </c>
      <c r="B50" s="8" t="s">
        <v>21</v>
      </c>
      <c r="C50" s="8" t="s">
        <v>138</v>
      </c>
      <c r="D50" s="8" t="s">
        <v>255</v>
      </c>
      <c r="E50" s="8" t="s">
        <v>39</v>
      </c>
      <c r="F50" s="8" t="s">
        <v>40</v>
      </c>
      <c r="G50" s="10" t="s">
        <v>41</v>
      </c>
      <c r="H50" s="10" t="s">
        <v>41</v>
      </c>
      <c r="I50" s="8" t="s">
        <v>201</v>
      </c>
      <c r="J50" s="8" t="s">
        <v>256</v>
      </c>
      <c r="K50" s="8" t="s">
        <v>257</v>
      </c>
      <c r="L50" s="12" t="s">
        <v>45</v>
      </c>
      <c r="M50" s="8" t="s">
        <v>258</v>
      </c>
      <c r="N50" s="5"/>
    </row>
    <row r="51" spans="1:14" ht="30" customHeight="1" x14ac:dyDescent="0.25">
      <c r="A51" s="8" t="s">
        <v>259</v>
      </c>
      <c r="B51" s="8" t="s">
        <v>21</v>
      </c>
      <c r="C51" s="8" t="s">
        <v>138</v>
      </c>
      <c r="D51" s="8" t="s">
        <v>260</v>
      </c>
      <c r="E51" s="8" t="s">
        <v>39</v>
      </c>
      <c r="F51" s="8" t="s">
        <v>49</v>
      </c>
      <c r="G51" s="11" t="s">
        <v>50</v>
      </c>
      <c r="H51" s="11" t="s">
        <v>50</v>
      </c>
      <c r="I51" s="8" t="s">
        <v>172</v>
      </c>
      <c r="J51" s="8" t="s">
        <v>56</v>
      </c>
      <c r="K51" s="8" t="s">
        <v>168</v>
      </c>
      <c r="L51" s="12" t="s">
        <v>45</v>
      </c>
      <c r="M51" s="8" t="s">
        <v>261</v>
      </c>
      <c r="N51" s="5"/>
    </row>
    <row r="52" spans="1:14" ht="30" customHeight="1" x14ac:dyDescent="0.25">
      <c r="A52" s="8" t="s">
        <v>262</v>
      </c>
      <c r="B52" s="8" t="s">
        <v>21</v>
      </c>
      <c r="C52" s="8" t="s">
        <v>138</v>
      </c>
      <c r="D52" s="8" t="s">
        <v>263</v>
      </c>
      <c r="E52" s="8" t="s">
        <v>39</v>
      </c>
      <c r="F52" s="8" t="s">
        <v>49</v>
      </c>
      <c r="G52" s="11" t="s">
        <v>50</v>
      </c>
      <c r="H52" s="11" t="s">
        <v>50</v>
      </c>
      <c r="I52" s="8" t="s">
        <v>172</v>
      </c>
      <c r="J52" s="8" t="s">
        <v>264</v>
      </c>
      <c r="K52" s="8" t="s">
        <v>235</v>
      </c>
      <c r="L52" s="12" t="s">
        <v>45</v>
      </c>
      <c r="M52" s="8" t="s">
        <v>265</v>
      </c>
      <c r="N52" s="5"/>
    </row>
    <row r="53" spans="1:14" ht="30" customHeight="1" x14ac:dyDescent="0.25">
      <c r="A53" s="8" t="s">
        <v>266</v>
      </c>
      <c r="B53" s="8" t="s">
        <v>21</v>
      </c>
      <c r="C53" s="8" t="s">
        <v>138</v>
      </c>
      <c r="D53" s="8" t="s">
        <v>267</v>
      </c>
      <c r="E53" s="8" t="s">
        <v>39</v>
      </c>
      <c r="F53" s="8" t="s">
        <v>49</v>
      </c>
      <c r="G53" s="11" t="s">
        <v>50</v>
      </c>
      <c r="H53" s="11" t="s">
        <v>50</v>
      </c>
      <c r="I53" s="8" t="s">
        <v>56</v>
      </c>
      <c r="J53" s="8" t="s">
        <v>256</v>
      </c>
      <c r="K53" s="8" t="s">
        <v>207</v>
      </c>
      <c r="L53" s="12" t="s">
        <v>45</v>
      </c>
      <c r="M53" s="8" t="s">
        <v>268</v>
      </c>
      <c r="N53" s="5"/>
    </row>
    <row r="54" spans="1:14" ht="30" customHeight="1" x14ac:dyDescent="0.25">
      <c r="A54" s="8" t="s">
        <v>269</v>
      </c>
      <c r="B54" s="8" t="s">
        <v>21</v>
      </c>
      <c r="C54" s="8" t="s">
        <v>138</v>
      </c>
      <c r="D54" s="8" t="s">
        <v>270</v>
      </c>
      <c r="E54" s="8" t="s">
        <v>39</v>
      </c>
      <c r="F54" s="8" t="s">
        <v>49</v>
      </c>
      <c r="G54" s="11" t="s">
        <v>50</v>
      </c>
      <c r="H54" s="11" t="s">
        <v>50</v>
      </c>
      <c r="I54" s="8" t="s">
        <v>211</v>
      </c>
      <c r="J54" s="8" t="s">
        <v>256</v>
      </c>
      <c r="K54" s="8" t="s">
        <v>207</v>
      </c>
      <c r="L54" s="12" t="s">
        <v>45</v>
      </c>
      <c r="M54" s="8" t="s">
        <v>271</v>
      </c>
      <c r="N54" s="5"/>
    </row>
    <row r="55" spans="1:14" ht="30" customHeight="1" x14ac:dyDescent="0.25">
      <c r="A55" s="8" t="s">
        <v>272</v>
      </c>
      <c r="B55" s="8" t="s">
        <v>21</v>
      </c>
      <c r="C55" s="8" t="s">
        <v>138</v>
      </c>
      <c r="D55" s="8" t="s">
        <v>273</v>
      </c>
      <c r="E55" s="8" t="s">
        <v>39</v>
      </c>
      <c r="F55" s="8" t="s">
        <v>49</v>
      </c>
      <c r="G55" s="10" t="s">
        <v>41</v>
      </c>
      <c r="H55" s="10" t="s">
        <v>41</v>
      </c>
      <c r="I55" s="8" t="s">
        <v>215</v>
      </c>
      <c r="J55" s="8" t="s">
        <v>256</v>
      </c>
      <c r="K55" s="8" t="s">
        <v>216</v>
      </c>
      <c r="L55" s="12" t="s">
        <v>45</v>
      </c>
      <c r="M55" s="8" t="s">
        <v>274</v>
      </c>
      <c r="N55" s="5"/>
    </row>
    <row r="56" spans="1:14" ht="30" customHeight="1" x14ac:dyDescent="0.25">
      <c r="A56" s="8" t="s">
        <v>275</v>
      </c>
      <c r="B56" s="8" t="s">
        <v>22</v>
      </c>
      <c r="C56" s="8" t="s">
        <v>63</v>
      </c>
      <c r="D56" s="8" t="s">
        <v>276</v>
      </c>
      <c r="E56" s="8" t="s">
        <v>39</v>
      </c>
      <c r="F56" s="8" t="s">
        <v>40</v>
      </c>
      <c r="G56" s="10" t="s">
        <v>41</v>
      </c>
      <c r="H56" s="10" t="s">
        <v>41</v>
      </c>
      <c r="I56" s="8" t="s">
        <v>277</v>
      </c>
      <c r="J56" s="8" t="s">
        <v>56</v>
      </c>
      <c r="K56" s="8" t="s">
        <v>278</v>
      </c>
      <c r="L56" s="12" t="s">
        <v>45</v>
      </c>
      <c r="M56" s="8" t="s">
        <v>279</v>
      </c>
      <c r="N56" s="5"/>
    </row>
    <row r="57" spans="1:14" ht="30" customHeight="1" x14ac:dyDescent="0.25">
      <c r="A57" s="8" t="s">
        <v>280</v>
      </c>
      <c r="B57" s="8" t="s">
        <v>22</v>
      </c>
      <c r="C57" s="8" t="s">
        <v>63</v>
      </c>
      <c r="D57" s="8" t="s">
        <v>281</v>
      </c>
      <c r="E57" s="8" t="s">
        <v>39</v>
      </c>
      <c r="F57" s="8" t="s">
        <v>40</v>
      </c>
      <c r="G57" s="10" t="s">
        <v>41</v>
      </c>
      <c r="H57" s="10" t="s">
        <v>41</v>
      </c>
      <c r="I57" s="8" t="s">
        <v>277</v>
      </c>
      <c r="J57" s="8" t="s">
        <v>282</v>
      </c>
      <c r="K57" s="8" t="s">
        <v>283</v>
      </c>
      <c r="L57" s="12" t="s">
        <v>45</v>
      </c>
      <c r="M57" s="8" t="s">
        <v>284</v>
      </c>
      <c r="N57" s="5"/>
    </row>
    <row r="58" spans="1:14" ht="45" customHeight="1" x14ac:dyDescent="0.25">
      <c r="A58" s="8" t="s">
        <v>285</v>
      </c>
      <c r="B58" s="8" t="s">
        <v>22</v>
      </c>
      <c r="C58" s="8" t="s">
        <v>37</v>
      </c>
      <c r="D58" s="8" t="s">
        <v>286</v>
      </c>
      <c r="E58" s="8" t="s">
        <v>39</v>
      </c>
      <c r="F58" s="8" t="s">
        <v>40</v>
      </c>
      <c r="G58" s="10" t="s">
        <v>41</v>
      </c>
      <c r="H58" s="10" t="s">
        <v>41</v>
      </c>
      <c r="I58" s="8" t="s">
        <v>287</v>
      </c>
      <c r="J58" s="8" t="s">
        <v>288</v>
      </c>
      <c r="K58" s="8" t="s">
        <v>289</v>
      </c>
      <c r="L58" s="12" t="s">
        <v>45</v>
      </c>
      <c r="M58" s="8" t="s">
        <v>290</v>
      </c>
      <c r="N58" s="5"/>
    </row>
    <row r="59" spans="1:14" ht="75" customHeight="1" x14ac:dyDescent="0.25">
      <c r="A59" s="8" t="s">
        <v>291</v>
      </c>
      <c r="B59" s="8" t="s">
        <v>22</v>
      </c>
      <c r="C59" s="8" t="s">
        <v>37</v>
      </c>
      <c r="D59" s="8" t="s">
        <v>292</v>
      </c>
      <c r="E59" s="8" t="s">
        <v>39</v>
      </c>
      <c r="F59" s="8" t="s">
        <v>49</v>
      </c>
      <c r="G59" s="11" t="s">
        <v>50</v>
      </c>
      <c r="H59" s="11" t="s">
        <v>50</v>
      </c>
      <c r="I59" s="8" t="s">
        <v>293</v>
      </c>
      <c r="J59" s="8" t="s">
        <v>288</v>
      </c>
      <c r="K59" s="8" t="s">
        <v>235</v>
      </c>
      <c r="L59" s="12" t="s">
        <v>45</v>
      </c>
      <c r="M59" s="8" t="s">
        <v>294</v>
      </c>
      <c r="N59" s="5"/>
    </row>
    <row r="60" spans="1:14" ht="45" customHeight="1" x14ac:dyDescent="0.25">
      <c r="A60" s="8" t="s">
        <v>295</v>
      </c>
      <c r="B60" s="8" t="s">
        <v>22</v>
      </c>
      <c r="C60" s="8" t="s">
        <v>37</v>
      </c>
      <c r="D60" s="8" t="s">
        <v>296</v>
      </c>
      <c r="E60" s="8" t="s">
        <v>39</v>
      </c>
      <c r="F60" s="8" t="s">
        <v>49</v>
      </c>
      <c r="G60" s="11" t="s">
        <v>50</v>
      </c>
      <c r="H60" s="11" t="s">
        <v>50</v>
      </c>
      <c r="I60" s="8" t="s">
        <v>297</v>
      </c>
      <c r="J60" s="8" t="s">
        <v>298</v>
      </c>
      <c r="K60" s="8" t="s">
        <v>235</v>
      </c>
      <c r="L60" s="12" t="s">
        <v>45</v>
      </c>
      <c r="M60" s="8" t="s">
        <v>299</v>
      </c>
      <c r="N60" s="5"/>
    </row>
    <row r="61" spans="1:14" ht="45" customHeight="1" x14ac:dyDescent="0.25">
      <c r="A61" s="8" t="s">
        <v>300</v>
      </c>
      <c r="B61" s="8" t="s">
        <v>22</v>
      </c>
      <c r="C61" s="8" t="s">
        <v>37</v>
      </c>
      <c r="D61" s="8" t="s">
        <v>301</v>
      </c>
      <c r="E61" s="8" t="s">
        <v>69</v>
      </c>
      <c r="F61" s="8" t="s">
        <v>49</v>
      </c>
      <c r="G61" s="11" t="s">
        <v>50</v>
      </c>
      <c r="H61" s="11" t="s">
        <v>50</v>
      </c>
      <c r="I61" s="8" t="s">
        <v>287</v>
      </c>
      <c r="J61" s="8" t="s">
        <v>302</v>
      </c>
      <c r="K61" s="8" t="s">
        <v>235</v>
      </c>
      <c r="L61" s="12" t="s">
        <v>45</v>
      </c>
      <c r="M61" s="8" t="s">
        <v>303</v>
      </c>
      <c r="N61" s="5"/>
    </row>
    <row r="62" spans="1:14" ht="30" customHeight="1" x14ac:dyDescent="0.25">
      <c r="A62" s="8" t="s">
        <v>304</v>
      </c>
      <c r="B62" s="8" t="s">
        <v>22</v>
      </c>
      <c r="C62" s="8" t="s">
        <v>37</v>
      </c>
      <c r="D62" s="8" t="s">
        <v>305</v>
      </c>
      <c r="E62" s="8" t="s">
        <v>39</v>
      </c>
      <c r="F62" s="8" t="s">
        <v>40</v>
      </c>
      <c r="G62" s="10" t="s">
        <v>41</v>
      </c>
      <c r="H62" s="10" t="s">
        <v>41</v>
      </c>
      <c r="I62" s="8" t="s">
        <v>277</v>
      </c>
      <c r="J62" s="8" t="s">
        <v>288</v>
      </c>
      <c r="K62" s="8" t="s">
        <v>174</v>
      </c>
      <c r="L62" s="12" t="s">
        <v>45</v>
      </c>
      <c r="M62" s="8" t="s">
        <v>306</v>
      </c>
      <c r="N62" s="5"/>
    </row>
    <row r="63" spans="1:14" ht="30" customHeight="1" x14ac:dyDescent="0.25">
      <c r="A63" s="8" t="s">
        <v>307</v>
      </c>
      <c r="B63" s="8" t="s">
        <v>22</v>
      </c>
      <c r="C63" s="8" t="s">
        <v>37</v>
      </c>
      <c r="D63" s="8" t="s">
        <v>308</v>
      </c>
      <c r="E63" s="8" t="s">
        <v>69</v>
      </c>
      <c r="F63" s="8" t="s">
        <v>49</v>
      </c>
      <c r="G63" s="11" t="s">
        <v>50</v>
      </c>
      <c r="H63" s="11" t="s">
        <v>50</v>
      </c>
      <c r="I63" s="8" t="s">
        <v>309</v>
      </c>
      <c r="J63" s="8" t="s">
        <v>288</v>
      </c>
      <c r="K63" s="8" t="s">
        <v>207</v>
      </c>
      <c r="L63" s="12" t="s">
        <v>45</v>
      </c>
      <c r="M63" s="8" t="s">
        <v>310</v>
      </c>
      <c r="N63" s="5"/>
    </row>
    <row r="64" spans="1:14" ht="45" customHeight="1" x14ac:dyDescent="0.25">
      <c r="A64" s="8" t="s">
        <v>311</v>
      </c>
      <c r="B64" s="8" t="s">
        <v>22</v>
      </c>
      <c r="C64" s="8" t="s">
        <v>124</v>
      </c>
      <c r="D64" s="8" t="s">
        <v>312</v>
      </c>
      <c r="E64" s="8" t="s">
        <v>39</v>
      </c>
      <c r="F64" s="8" t="s">
        <v>40</v>
      </c>
      <c r="G64" s="10" t="s">
        <v>41</v>
      </c>
      <c r="H64" s="10" t="s">
        <v>41</v>
      </c>
      <c r="I64" s="8" t="s">
        <v>313</v>
      </c>
      <c r="J64" s="8" t="s">
        <v>288</v>
      </c>
      <c r="K64" s="8" t="s">
        <v>314</v>
      </c>
      <c r="L64" s="13" t="s">
        <v>57</v>
      </c>
      <c r="M64" s="8" t="s">
        <v>315</v>
      </c>
      <c r="N64" s="5"/>
    </row>
    <row r="65" spans="1:14" ht="30" customHeight="1" x14ac:dyDescent="0.25">
      <c r="A65" s="8" t="s">
        <v>316</v>
      </c>
      <c r="B65" s="8" t="s">
        <v>22</v>
      </c>
      <c r="C65" s="8" t="s">
        <v>138</v>
      </c>
      <c r="D65" s="8" t="s">
        <v>317</v>
      </c>
      <c r="E65" s="8" t="s">
        <v>39</v>
      </c>
      <c r="F65" s="8" t="s">
        <v>40</v>
      </c>
      <c r="G65" s="10" t="s">
        <v>41</v>
      </c>
      <c r="H65" s="10" t="s">
        <v>41</v>
      </c>
      <c r="I65" s="8" t="s">
        <v>318</v>
      </c>
      <c r="J65" s="8" t="s">
        <v>56</v>
      </c>
      <c r="K65" s="8" t="s">
        <v>126</v>
      </c>
      <c r="L65" s="12" t="s">
        <v>45</v>
      </c>
      <c r="M65" s="8" t="s">
        <v>319</v>
      </c>
      <c r="N65" s="5"/>
    </row>
    <row r="66" spans="1:14" ht="30" customHeight="1" x14ac:dyDescent="0.25">
      <c r="A66" s="8" t="s">
        <v>320</v>
      </c>
      <c r="B66" s="8" t="s">
        <v>22</v>
      </c>
      <c r="C66" s="8" t="s">
        <v>138</v>
      </c>
      <c r="D66" s="8" t="s">
        <v>321</v>
      </c>
      <c r="E66" s="8" t="s">
        <v>39</v>
      </c>
      <c r="F66" s="8" t="s">
        <v>49</v>
      </c>
      <c r="G66" s="11" t="s">
        <v>50</v>
      </c>
      <c r="H66" s="10" t="s">
        <v>41</v>
      </c>
      <c r="I66" s="8" t="s">
        <v>322</v>
      </c>
      <c r="J66" s="8" t="s">
        <v>56</v>
      </c>
      <c r="K66" s="8" t="s">
        <v>126</v>
      </c>
      <c r="L66" s="13" t="s">
        <v>57</v>
      </c>
      <c r="M66" s="8" t="s">
        <v>323</v>
      </c>
      <c r="N66" s="5"/>
    </row>
    <row r="67" spans="1:14" ht="30" customHeight="1" x14ac:dyDescent="0.25">
      <c r="A67" s="8" t="s">
        <v>324</v>
      </c>
      <c r="B67" s="8" t="s">
        <v>22</v>
      </c>
      <c r="C67" s="8" t="s">
        <v>138</v>
      </c>
      <c r="D67" s="8" t="s">
        <v>325</v>
      </c>
      <c r="E67" s="8" t="s">
        <v>39</v>
      </c>
      <c r="F67" s="8" t="s">
        <v>40</v>
      </c>
      <c r="G67" s="10" t="s">
        <v>41</v>
      </c>
      <c r="H67" s="10" t="s">
        <v>41</v>
      </c>
      <c r="I67" s="8" t="s">
        <v>318</v>
      </c>
      <c r="J67" s="8" t="s">
        <v>56</v>
      </c>
      <c r="K67" s="8" t="s">
        <v>126</v>
      </c>
      <c r="L67" s="12" t="s">
        <v>45</v>
      </c>
      <c r="M67" s="8" t="s">
        <v>326</v>
      </c>
      <c r="N67" s="5"/>
    </row>
    <row r="68" spans="1:14" ht="30" customHeight="1" x14ac:dyDescent="0.25">
      <c r="A68" s="8" t="s">
        <v>327</v>
      </c>
      <c r="B68" s="8" t="s">
        <v>22</v>
      </c>
      <c r="C68" s="8" t="s">
        <v>138</v>
      </c>
      <c r="D68" s="8" t="s">
        <v>328</v>
      </c>
      <c r="E68" s="8" t="s">
        <v>39</v>
      </c>
      <c r="F68" s="8" t="s">
        <v>49</v>
      </c>
      <c r="G68" s="11" t="s">
        <v>50</v>
      </c>
      <c r="H68" s="10" t="s">
        <v>41</v>
      </c>
      <c r="I68" s="8" t="s">
        <v>322</v>
      </c>
      <c r="J68" s="8" t="s">
        <v>56</v>
      </c>
      <c r="K68" s="8" t="s">
        <v>126</v>
      </c>
      <c r="L68" s="13" t="s">
        <v>57</v>
      </c>
      <c r="M68" s="8" t="s">
        <v>329</v>
      </c>
      <c r="N68" s="5"/>
    </row>
  </sheetData>
  <autoFilter ref="A1:N550" xr:uid="{00000000-0009-0000-0000-000001000000}"/>
  <conditionalFormatting sqref="L2:L550">
    <cfRule type="expression" dxfId="24" priority="4">
      <formula>$L2="Passou"</formula>
    </cfRule>
    <cfRule type="expression" dxfId="23" priority="5">
      <formula>$L2="Falhou"</formula>
    </cfRule>
    <cfRule type="expression" dxfId="22" priority="6">
      <formula>OR($L2="Bloqueado",$L2="Não executado",$L2="Planejado")</formula>
    </cfRule>
    <cfRule type="cellIs" dxfId="21" priority="18" operator="equal">
      <formula>"Passou"</formula>
    </cfRule>
    <cfRule type="cellIs" dxfId="20" priority="19" operator="equal">
      <formula>"Falhou"</formula>
    </cfRule>
    <cfRule type="cellIs" dxfId="19" priority="20" operator="equal">
      <formula>"Bloqueado"</formula>
    </cfRule>
    <cfRule type="cellIs" dxfId="18" priority="21" operator="equal">
      <formula>"Planejado"</formula>
    </cfRule>
    <cfRule type="cellIs" dxfId="17" priority="22" operator="equal">
      <formula>"N?o executado"</formula>
    </cfRule>
    <cfRule type="cellIs" dxfId="16" priority="23" operator="equal">
      <formula>"Nao executado"</formula>
    </cfRule>
    <cfRule type="expression" dxfId="15" priority="24">
      <formula>UPPER(TRIM($L2))="PASSOU"</formula>
    </cfRule>
    <cfRule type="expression" dxfId="14" priority="25">
      <formula>UPPER(TRIM($L2))="FALHOU"</formula>
    </cfRule>
  </conditionalFormatting>
  <conditionalFormatting sqref="G2:G8 G9:H13 G14:G20 G21:H21 G22:G33 G34:H34 G35:G59 G60:H61 G62:G550 H3:H5 H8 H20 H22 H25:H31 H33 H36:H42 H44:H48 H50:H54 H56:H59 H62:H63 H65 H67">
    <cfRule type="expression" dxfId="13" priority="7">
      <formula>$G2="Sim"</formula>
    </cfRule>
    <cfRule type="expression" dxfId="12" priority="7">
      <formula>$G2="Não"</formula>
    </cfRule>
  </conditionalFormatting>
  <conditionalFormatting sqref="H2 H6:H7 H14:H19 H23:H24 H32 H35 H43 H49 H55 H64 H66 H68:H550">
    <cfRule type="expression" dxfId="11" priority="8">
      <formula>$H2="Sim"</formula>
    </cfRule>
    <cfRule type="expression" dxfId="10" priority="8">
      <formula>$H2="Não"</formula>
    </cfRule>
  </conditionalFormatting>
  <conditionalFormatting sqref="G2:G550">
    <cfRule type="cellIs" dxfId="9" priority="9" operator="equal">
      <formula>"Sim"</formula>
    </cfRule>
    <cfRule type="cellIs" dxfId="8" priority="9" operator="equal">
      <formula>"Não"</formula>
    </cfRule>
    <cfRule type="cellIs" dxfId="7" priority="10" operator="equal">
      <formula>"Nao"</formula>
    </cfRule>
    <cfRule type="expression" dxfId="6" priority="11">
      <formula>UPPER(TRIM($G2))="SIM"</formula>
    </cfRule>
    <cfRule type="expression" dxfId="5" priority="12">
      <formula>OR(UPPER(TRIM($G2))="N?O",UPPER(TRIM($G2))="NAO")</formula>
    </cfRule>
  </conditionalFormatting>
  <conditionalFormatting sqref="H2:H550">
    <cfRule type="cellIs" dxfId="4" priority="13" operator="equal">
      <formula>"Sim"</formula>
    </cfRule>
    <cfRule type="cellIs" dxfId="3" priority="14" operator="equal">
      <formula>"Não"</formula>
    </cfRule>
    <cfRule type="cellIs" dxfId="2" priority="15" operator="equal">
      <formula>"Nao"</formula>
    </cfRule>
    <cfRule type="expression" dxfId="1" priority="16">
      <formula>UPPER(TRIM($H2))="SIM"</formula>
    </cfRule>
    <cfRule type="expression" dxfId="0" priority="17">
      <formula>OR(UPPER(TRIM($H2))="N?O",UPPER(TRIM($H2))="NAO")</formula>
    </cfRule>
  </conditionalFormatting>
  <dataValidations count="4">
    <dataValidation type="list" allowBlank="1" sqref="E2:E550" xr:uid="{00000000-0002-0000-0100-000000000000}">
      <formula1>"Alta,Média,Baixa"</formula1>
    </dataValidation>
    <dataValidation type="list" allowBlank="1" sqref="F2:F550" xr:uid="{00000000-0002-0000-0100-000001000000}">
      <formula1>"Positivo,Negativo,Contrato"</formula1>
    </dataValidation>
    <dataValidation type="list" allowBlank="1" sqref="G2:H550" xr:uid="{00000000-0002-0000-0100-000002000000}">
      <formula1>"Sim,Não"</formula1>
    </dataValidation>
    <dataValidation type="list" allowBlank="1" sqref="L2:L550" xr:uid="{00000000-0002-0000-0100-000003000000}">
      <formula1>"Planejado,Passou,Falhou,Bloqueado,Não executado"</formula1>
    </dataValidation>
  </dataValidation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8"/>
  <sheetViews>
    <sheetView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1" width="18" customWidth="1"/>
    <col min="2" max="2" width="48" customWidth="1"/>
    <col min="3" max="3" width="20" customWidth="1"/>
    <col min="4" max="4" width="34" customWidth="1"/>
    <col min="5" max="5" width="52" customWidth="1"/>
    <col min="6" max="6" width="20" customWidth="1"/>
    <col min="7" max="7" width="34" customWidth="1"/>
  </cols>
  <sheetData>
    <row r="1" spans="1:7" x14ac:dyDescent="0.25">
      <c r="A1" s="14" t="s">
        <v>330</v>
      </c>
      <c r="B1" s="14" t="s">
        <v>331</v>
      </c>
      <c r="C1" s="14" t="s">
        <v>17</v>
      </c>
      <c r="D1" s="14" t="s">
        <v>332</v>
      </c>
      <c r="E1" s="14" t="s">
        <v>333</v>
      </c>
      <c r="F1" s="14" t="s">
        <v>334</v>
      </c>
      <c r="G1" s="14" t="s">
        <v>35</v>
      </c>
    </row>
    <row r="2" spans="1:7" ht="30" customHeight="1" x14ac:dyDescent="0.25">
      <c r="A2" s="15" t="s">
        <v>335</v>
      </c>
      <c r="B2" s="15" t="s">
        <v>336</v>
      </c>
      <c r="C2" s="15" t="s">
        <v>19</v>
      </c>
      <c r="D2" s="15" t="s">
        <v>36</v>
      </c>
      <c r="E2" s="15" t="s">
        <v>337</v>
      </c>
      <c r="F2" s="16" t="s">
        <v>338</v>
      </c>
      <c r="G2" s="15" t="s">
        <v>339</v>
      </c>
    </row>
    <row r="3" spans="1:7" ht="30" customHeight="1" x14ac:dyDescent="0.25">
      <c r="A3" s="15" t="s">
        <v>340</v>
      </c>
      <c r="B3" s="15" t="s">
        <v>341</v>
      </c>
      <c r="C3" s="15" t="s">
        <v>19</v>
      </c>
      <c r="D3" s="15" t="s">
        <v>342</v>
      </c>
      <c r="E3" s="15" t="s">
        <v>343</v>
      </c>
      <c r="F3" s="17" t="s">
        <v>344</v>
      </c>
      <c r="G3" s="15" t="s">
        <v>345</v>
      </c>
    </row>
    <row r="4" spans="1:7" ht="45" customHeight="1" x14ac:dyDescent="0.25">
      <c r="A4" s="15" t="s">
        <v>346</v>
      </c>
      <c r="B4" s="15" t="s">
        <v>347</v>
      </c>
      <c r="C4" s="15" t="s">
        <v>20</v>
      </c>
      <c r="D4" s="15" t="s">
        <v>348</v>
      </c>
      <c r="E4" s="15" t="s">
        <v>349</v>
      </c>
      <c r="F4" s="16" t="s">
        <v>338</v>
      </c>
      <c r="G4" s="15" t="s">
        <v>350</v>
      </c>
    </row>
    <row r="5" spans="1:7" ht="45" customHeight="1" x14ac:dyDescent="0.25">
      <c r="A5" s="15" t="s">
        <v>351</v>
      </c>
      <c r="B5" s="15" t="s">
        <v>352</v>
      </c>
      <c r="C5" s="15" t="s">
        <v>20</v>
      </c>
      <c r="D5" s="15" t="s">
        <v>81</v>
      </c>
      <c r="E5" s="15" t="s">
        <v>353</v>
      </c>
      <c r="F5" s="16" t="s">
        <v>338</v>
      </c>
      <c r="G5" s="15" t="s">
        <v>350</v>
      </c>
    </row>
    <row r="6" spans="1:7" ht="45" customHeight="1" x14ac:dyDescent="0.25">
      <c r="A6" s="15" t="s">
        <v>354</v>
      </c>
      <c r="B6" s="15" t="s">
        <v>355</v>
      </c>
      <c r="C6" s="15" t="s">
        <v>20</v>
      </c>
      <c r="D6" s="15" t="s">
        <v>356</v>
      </c>
      <c r="E6" s="15" t="s">
        <v>357</v>
      </c>
      <c r="F6" s="16" t="s">
        <v>338</v>
      </c>
      <c r="G6" s="15" t="s">
        <v>358</v>
      </c>
    </row>
    <row r="7" spans="1:7" ht="45" customHeight="1" x14ac:dyDescent="0.25">
      <c r="A7" s="15" t="s">
        <v>359</v>
      </c>
      <c r="B7" s="15" t="s">
        <v>360</v>
      </c>
      <c r="C7" s="15" t="s">
        <v>20</v>
      </c>
      <c r="D7" s="15" t="s">
        <v>101</v>
      </c>
      <c r="E7" s="15" t="s">
        <v>361</v>
      </c>
      <c r="F7" s="17" t="s">
        <v>344</v>
      </c>
      <c r="G7" s="15" t="s">
        <v>362</v>
      </c>
    </row>
    <row r="8" spans="1:7" ht="45" customHeight="1" x14ac:dyDescent="0.25">
      <c r="A8" s="15" t="s">
        <v>363</v>
      </c>
      <c r="B8" s="15" t="s">
        <v>364</v>
      </c>
      <c r="C8" s="15" t="s">
        <v>20</v>
      </c>
      <c r="D8" s="15" t="s">
        <v>106</v>
      </c>
      <c r="E8" s="15" t="s">
        <v>365</v>
      </c>
      <c r="F8" s="17" t="s">
        <v>344</v>
      </c>
      <c r="G8" s="15" t="s">
        <v>362</v>
      </c>
    </row>
    <row r="9" spans="1:7" ht="45" customHeight="1" x14ac:dyDescent="0.25">
      <c r="A9" s="15" t="s">
        <v>366</v>
      </c>
      <c r="B9" s="15" t="s">
        <v>367</v>
      </c>
      <c r="C9" s="15" t="s">
        <v>20</v>
      </c>
      <c r="D9" s="15" t="s">
        <v>110</v>
      </c>
      <c r="E9" s="15" t="s">
        <v>368</v>
      </c>
      <c r="F9" s="17" t="s">
        <v>344</v>
      </c>
      <c r="G9" s="15" t="s">
        <v>362</v>
      </c>
    </row>
    <row r="10" spans="1:7" ht="45" customHeight="1" x14ac:dyDescent="0.25">
      <c r="A10" s="15" t="s">
        <v>369</v>
      </c>
      <c r="B10" s="15" t="s">
        <v>370</v>
      </c>
      <c r="C10" s="15" t="s">
        <v>20</v>
      </c>
      <c r="D10" s="15" t="s">
        <v>114</v>
      </c>
      <c r="E10" s="15" t="s">
        <v>371</v>
      </c>
      <c r="F10" s="17" t="s">
        <v>344</v>
      </c>
      <c r="G10" s="15" t="s">
        <v>362</v>
      </c>
    </row>
    <row r="11" spans="1:7" ht="60" customHeight="1" x14ac:dyDescent="0.25">
      <c r="A11" s="15" t="s">
        <v>372</v>
      </c>
      <c r="B11" s="15" t="s">
        <v>373</v>
      </c>
      <c r="C11" s="15" t="s">
        <v>20</v>
      </c>
      <c r="D11" s="15" t="s">
        <v>134</v>
      </c>
      <c r="E11" s="15" t="s">
        <v>374</v>
      </c>
      <c r="F11" s="17" t="s">
        <v>344</v>
      </c>
      <c r="G11" s="15" t="s">
        <v>362</v>
      </c>
    </row>
    <row r="12" spans="1:7" ht="45" customHeight="1" x14ac:dyDescent="0.25">
      <c r="A12" s="15" t="s">
        <v>375</v>
      </c>
      <c r="B12" s="15" t="s">
        <v>376</v>
      </c>
      <c r="C12" s="15" t="s">
        <v>20</v>
      </c>
      <c r="D12" s="15" t="s">
        <v>377</v>
      </c>
      <c r="E12" s="15" t="s">
        <v>378</v>
      </c>
      <c r="F12" s="17" t="s">
        <v>344</v>
      </c>
      <c r="G12" s="15" t="s">
        <v>350</v>
      </c>
    </row>
    <row r="13" spans="1:7" ht="60" customHeight="1" x14ac:dyDescent="0.25">
      <c r="A13" s="15" t="s">
        <v>379</v>
      </c>
      <c r="B13" s="15" t="s">
        <v>380</v>
      </c>
      <c r="C13" s="15" t="s">
        <v>21</v>
      </c>
      <c r="D13" s="15" t="s">
        <v>381</v>
      </c>
      <c r="E13" s="15" t="s">
        <v>382</v>
      </c>
      <c r="F13" s="16" t="s">
        <v>338</v>
      </c>
      <c r="G13" s="15" t="s">
        <v>383</v>
      </c>
    </row>
    <row r="14" spans="1:7" ht="45" customHeight="1" x14ac:dyDescent="0.25">
      <c r="A14" s="15" t="s">
        <v>384</v>
      </c>
      <c r="B14" s="15" t="s">
        <v>385</v>
      </c>
      <c r="C14" s="15" t="s">
        <v>21</v>
      </c>
      <c r="D14" s="15" t="s">
        <v>170</v>
      </c>
      <c r="E14" s="15" t="s">
        <v>386</v>
      </c>
      <c r="F14" s="16" t="s">
        <v>338</v>
      </c>
      <c r="G14" s="15" t="s">
        <v>383</v>
      </c>
    </row>
    <row r="15" spans="1:7" ht="45" customHeight="1" x14ac:dyDescent="0.25">
      <c r="A15" s="15" t="s">
        <v>387</v>
      </c>
      <c r="B15" s="15" t="s">
        <v>388</v>
      </c>
      <c r="C15" s="15" t="s">
        <v>21</v>
      </c>
      <c r="D15" s="15" t="s">
        <v>176</v>
      </c>
      <c r="E15" s="15" t="s">
        <v>389</v>
      </c>
      <c r="F15" s="17" t="s">
        <v>344</v>
      </c>
      <c r="G15" s="15" t="s">
        <v>362</v>
      </c>
    </row>
    <row r="16" spans="1:7" ht="45" customHeight="1" x14ac:dyDescent="0.25">
      <c r="A16" s="15" t="s">
        <v>390</v>
      </c>
      <c r="B16" s="15" t="s">
        <v>391</v>
      </c>
      <c r="C16" s="15" t="s">
        <v>21</v>
      </c>
      <c r="D16" s="15" t="s">
        <v>392</v>
      </c>
      <c r="E16" s="15" t="s">
        <v>393</v>
      </c>
      <c r="F16" s="16" t="s">
        <v>338</v>
      </c>
      <c r="G16" s="15" t="s">
        <v>394</v>
      </c>
    </row>
    <row r="17" spans="1:7" ht="45" customHeight="1" x14ac:dyDescent="0.25">
      <c r="A17" s="15" t="s">
        <v>395</v>
      </c>
      <c r="B17" s="15" t="s">
        <v>396</v>
      </c>
      <c r="C17" s="15" t="s">
        <v>21</v>
      </c>
      <c r="D17" s="15" t="s">
        <v>190</v>
      </c>
      <c r="E17" s="15" t="s">
        <v>397</v>
      </c>
      <c r="F17" s="17" t="s">
        <v>344</v>
      </c>
      <c r="G17" s="15" t="s">
        <v>362</v>
      </c>
    </row>
    <row r="18" spans="1:7" ht="60" customHeight="1" x14ac:dyDescent="0.25">
      <c r="A18" s="15" t="s">
        <v>398</v>
      </c>
      <c r="B18" s="15" t="s">
        <v>399</v>
      </c>
      <c r="C18" s="15" t="s">
        <v>21</v>
      </c>
      <c r="D18" s="15" t="s">
        <v>228</v>
      </c>
      <c r="E18" s="15" t="s">
        <v>400</v>
      </c>
      <c r="F18" s="17" t="s">
        <v>344</v>
      </c>
      <c r="G18" s="15" t="s">
        <v>362</v>
      </c>
    </row>
    <row r="19" spans="1:7" ht="45" customHeight="1" x14ac:dyDescent="0.25">
      <c r="A19" s="15" t="s">
        <v>401</v>
      </c>
      <c r="B19" s="15" t="s">
        <v>402</v>
      </c>
      <c r="C19" s="15" t="s">
        <v>21</v>
      </c>
      <c r="D19" s="15" t="s">
        <v>251</v>
      </c>
      <c r="E19" s="15" t="s">
        <v>403</v>
      </c>
      <c r="F19" s="17" t="s">
        <v>344</v>
      </c>
      <c r="G19" s="15" t="s">
        <v>362</v>
      </c>
    </row>
    <row r="20" spans="1:7" ht="60" customHeight="1" x14ac:dyDescent="0.25">
      <c r="A20" s="15" t="s">
        <v>404</v>
      </c>
      <c r="B20" s="15" t="s">
        <v>405</v>
      </c>
      <c r="C20" s="15" t="s">
        <v>21</v>
      </c>
      <c r="D20" s="15" t="s">
        <v>406</v>
      </c>
      <c r="E20" s="15" t="s">
        <v>407</v>
      </c>
      <c r="F20" s="16" t="s">
        <v>338</v>
      </c>
      <c r="G20" s="15" t="s">
        <v>383</v>
      </c>
    </row>
    <row r="21" spans="1:7" ht="60" customHeight="1" x14ac:dyDescent="0.25">
      <c r="A21" s="15" t="s">
        <v>408</v>
      </c>
      <c r="B21" s="15" t="s">
        <v>409</v>
      </c>
      <c r="C21" s="15" t="s">
        <v>22</v>
      </c>
      <c r="D21" s="15" t="s">
        <v>410</v>
      </c>
      <c r="E21" s="15" t="s">
        <v>411</v>
      </c>
      <c r="F21" s="16" t="s">
        <v>338</v>
      </c>
      <c r="G21" s="15" t="s">
        <v>412</v>
      </c>
    </row>
    <row r="22" spans="1:7" ht="45" customHeight="1" x14ac:dyDescent="0.25">
      <c r="A22" s="15" t="s">
        <v>413</v>
      </c>
      <c r="B22" s="15" t="s">
        <v>414</v>
      </c>
      <c r="C22" s="15" t="s">
        <v>22</v>
      </c>
      <c r="D22" s="15" t="s">
        <v>415</v>
      </c>
      <c r="E22" s="15" t="s">
        <v>416</v>
      </c>
      <c r="F22" s="16" t="s">
        <v>338</v>
      </c>
      <c r="G22" s="15" t="s">
        <v>412</v>
      </c>
    </row>
    <row r="23" spans="1:7" ht="60" customHeight="1" x14ac:dyDescent="0.25">
      <c r="A23" s="15" t="s">
        <v>417</v>
      </c>
      <c r="B23" s="15" t="s">
        <v>418</v>
      </c>
      <c r="C23" s="15" t="s">
        <v>22</v>
      </c>
      <c r="D23" s="15" t="s">
        <v>419</v>
      </c>
      <c r="E23" s="15" t="s">
        <v>420</v>
      </c>
      <c r="F23" s="16" t="s">
        <v>338</v>
      </c>
      <c r="G23" s="15" t="s">
        <v>421</v>
      </c>
    </row>
    <row r="24" spans="1:7" ht="60" customHeight="1" x14ac:dyDescent="0.25">
      <c r="A24" s="15" t="s">
        <v>422</v>
      </c>
      <c r="B24" s="15" t="s">
        <v>423</v>
      </c>
      <c r="C24" s="15" t="s">
        <v>22</v>
      </c>
      <c r="D24" s="15" t="s">
        <v>311</v>
      </c>
      <c r="E24" s="15" t="s">
        <v>424</v>
      </c>
      <c r="F24" s="17" t="s">
        <v>344</v>
      </c>
      <c r="G24" s="15" t="s">
        <v>362</v>
      </c>
    </row>
    <row r="25" spans="1:7" ht="45" customHeight="1" x14ac:dyDescent="0.25">
      <c r="A25" s="15" t="s">
        <v>425</v>
      </c>
      <c r="B25" s="15" t="s">
        <v>426</v>
      </c>
      <c r="C25" s="15" t="s">
        <v>22</v>
      </c>
      <c r="D25" s="15" t="s">
        <v>427</v>
      </c>
      <c r="E25" s="15" t="s">
        <v>428</v>
      </c>
      <c r="F25" s="17" t="s">
        <v>344</v>
      </c>
      <c r="G25" s="15" t="s">
        <v>412</v>
      </c>
    </row>
    <row r="26" spans="1:7" ht="45" customHeight="1" x14ac:dyDescent="0.25">
      <c r="A26" s="15" t="s">
        <v>429</v>
      </c>
      <c r="B26" s="15" t="s">
        <v>430</v>
      </c>
      <c r="C26" s="15" t="s">
        <v>22</v>
      </c>
      <c r="D26" s="15" t="s">
        <v>431</v>
      </c>
      <c r="E26" s="15" t="s">
        <v>432</v>
      </c>
      <c r="F26" s="17" t="s">
        <v>344</v>
      </c>
      <c r="G26" s="15" t="s">
        <v>412</v>
      </c>
    </row>
    <row r="27" spans="1:7" ht="45" customHeight="1" x14ac:dyDescent="0.25"/>
    <row r="28" spans="1:7" ht="45" customHeight="1" x14ac:dyDescent="0.25"/>
    <row r="29" spans="1:7" ht="45" customHeight="1" x14ac:dyDescent="0.25"/>
    <row r="30" spans="1:7" ht="45" customHeight="1" x14ac:dyDescent="0.25"/>
    <row r="31" spans="1:7" ht="45" customHeight="1" x14ac:dyDescent="0.25"/>
    <row r="32" spans="1:7" ht="45" customHeight="1" x14ac:dyDescent="0.25"/>
    <row r="33" ht="45" customHeight="1" x14ac:dyDescent="0.25"/>
    <row r="34" ht="45" customHeight="1" x14ac:dyDescent="0.25"/>
    <row r="35" ht="45" customHeight="1" x14ac:dyDescent="0.25"/>
    <row r="36" ht="45" customHeight="1" x14ac:dyDescent="0.25"/>
    <row r="37" ht="45" customHeight="1" x14ac:dyDescent="0.25"/>
    <row r="38" ht="45" customHeight="1" x14ac:dyDescent="0.25"/>
    <row r="39" ht="45" customHeight="1" x14ac:dyDescent="0.25"/>
    <row r="40" ht="45" customHeight="1" x14ac:dyDescent="0.25"/>
    <row r="41" ht="45" customHeight="1" x14ac:dyDescent="0.25"/>
    <row r="42" ht="45" customHeight="1" x14ac:dyDescent="0.25"/>
    <row r="43" ht="45" customHeight="1" x14ac:dyDescent="0.25"/>
    <row r="44" ht="45" customHeight="1" x14ac:dyDescent="0.25"/>
    <row r="45" ht="45" customHeight="1" x14ac:dyDescent="0.25"/>
    <row r="46" ht="45" customHeight="1" x14ac:dyDescent="0.25"/>
    <row r="47" ht="45" customHeight="1" x14ac:dyDescent="0.25"/>
    <row r="48" ht="45" customHeight="1" x14ac:dyDescent="0.25"/>
    <row r="49" ht="45" customHeight="1" x14ac:dyDescent="0.25"/>
    <row r="50" ht="45" customHeight="1" x14ac:dyDescent="0.25"/>
    <row r="51" ht="45" customHeight="1" x14ac:dyDescent="0.25"/>
    <row r="52" ht="45" customHeight="1" x14ac:dyDescent="0.25"/>
    <row r="53" ht="45" customHeight="1" x14ac:dyDescent="0.25"/>
    <row r="54" ht="45" customHeight="1" x14ac:dyDescent="0.25"/>
    <row r="55" ht="45" customHeight="1" x14ac:dyDescent="0.25"/>
    <row r="56" ht="45" customHeight="1" x14ac:dyDescent="0.25"/>
    <row r="57" ht="45" customHeight="1" x14ac:dyDescent="0.25"/>
    <row r="58" ht="60" customHeight="1" x14ac:dyDescent="0.25"/>
    <row r="59" ht="60" customHeight="1" x14ac:dyDescent="0.25"/>
    <row r="60" ht="45" customHeight="1" x14ac:dyDescent="0.25"/>
    <row r="61" ht="60" customHeight="1" x14ac:dyDescent="0.25"/>
    <row r="62" ht="45" customHeight="1" x14ac:dyDescent="0.25"/>
    <row r="63" ht="45" customHeight="1" x14ac:dyDescent="0.25"/>
    <row r="64" ht="45" customHeight="1" x14ac:dyDescent="0.25"/>
    <row r="65" ht="45" customHeight="1" x14ac:dyDescent="0.25"/>
    <row r="66" ht="45" customHeight="1" x14ac:dyDescent="0.25"/>
    <row r="67" ht="45" customHeight="1" x14ac:dyDescent="0.25"/>
    <row r="68" ht="45" customHeight="1" x14ac:dyDescent="0.25"/>
  </sheetData>
  <autoFilter ref="A1:G26" xr:uid="{00000000-0009-0000-0000-000002000000}"/>
  <dataValidations count="1">
    <dataValidation type="list" allowBlank="1" sqref="F2:F500" xr:uid="{00000000-0002-0000-0200-000000000000}">
      <formula1>"Coberto,Coberto com falha,Pendente,N?o aplic?vel"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Casos de Teste</vt:lpstr>
      <vt:lpstr>Rastreabilidade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Junior</cp:lastModifiedBy>
  <dcterms:created xsi:type="dcterms:W3CDTF">2026-05-27T02:33:25Z</dcterms:created>
  <dcterms:modified xsi:type="dcterms:W3CDTF">2026-05-29T01:41:06Z</dcterms:modified>
</cp:coreProperties>
</file>